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erntec\Desktop\정진이앤씨\견적서\옴니시스템\"/>
    </mc:Choice>
  </mc:AlternateContent>
  <xr:revisionPtr revIDLastSave="0" documentId="13_ncr:1_{B909034B-77D8-4759-BC5F-25B1D710F70E}" xr6:coauthVersionLast="47" xr6:coauthVersionMax="47" xr10:uidLastSave="{00000000-0000-0000-0000-000000000000}"/>
  <bookViews>
    <workbookView xWindow="-120" yWindow="-120" windowWidth="29040" windowHeight="15720" activeTab="2" xr2:uid="{B9D80FA1-4FD2-4DB6-A8A7-1C3E7A1B63CB}"/>
  </bookViews>
  <sheets>
    <sheet name="모던텍 완속-급속 주요 충전기 부품 BOM-250529" sheetId="1" r:id="rId1"/>
    <sheet name="모던텍 완속-급속 주요 충전기 부품_251114" sheetId="3" r:id="rId2"/>
    <sheet name="모던텍 완속-급속 주요 충전기 부품_260522" sheetId="2" r:id="rId3"/>
  </sheets>
  <externalReferences>
    <externalReference r:id="rId4"/>
    <externalReference r:id="rId5"/>
  </externalReferences>
  <definedNames>
    <definedName name="_1HY3_" localSheetId="0">#REF!</definedName>
    <definedName name="_1HY3_" localSheetId="1">#REF!</definedName>
    <definedName name="_1HY3_" localSheetId="2">#REF!</definedName>
    <definedName name="_1HY3_">#REF!</definedName>
    <definedName name="_CJR1" localSheetId="0">#REF!</definedName>
    <definedName name="_CJR1" localSheetId="1">#REF!</definedName>
    <definedName name="_CJR1" localSheetId="2">#REF!</definedName>
    <definedName name="_CJR1">#REF!</definedName>
    <definedName name="_CJR2" localSheetId="0">#REF!</definedName>
    <definedName name="_CJR2" localSheetId="1">#REF!</definedName>
    <definedName name="_CJR2" localSheetId="2">#REF!</definedName>
    <definedName name="_CJR2">#REF!</definedName>
    <definedName name="_CJR3" localSheetId="0">#REF!</definedName>
    <definedName name="_CJR3" localSheetId="1">#REF!</definedName>
    <definedName name="_CJR3" localSheetId="2">#REF!</definedName>
    <definedName name="_CJR3">#REF!</definedName>
    <definedName name="_CJR4" localSheetId="0">#REF!</definedName>
    <definedName name="_CJR4" localSheetId="1">#REF!</definedName>
    <definedName name="_CJR4" localSheetId="2">#REF!</definedName>
    <definedName name="_CJR4">#REF!</definedName>
    <definedName name="_CJR5" localSheetId="0">#REF!</definedName>
    <definedName name="_CJR5" localSheetId="1">#REF!</definedName>
    <definedName name="_CJR5" localSheetId="2">#REF!</definedName>
    <definedName name="_CJR5">#REF!</definedName>
    <definedName name="_EPP1" localSheetId="0">#REF!</definedName>
    <definedName name="_EPP1" localSheetId="1">#REF!</definedName>
    <definedName name="_EPP1" localSheetId="2">#REF!</definedName>
    <definedName name="_EPP1">#REF!</definedName>
    <definedName name="_EPP2" localSheetId="0">#REF!</definedName>
    <definedName name="_EPP2" localSheetId="1">#REF!</definedName>
    <definedName name="_EPP2" localSheetId="2">#REF!</definedName>
    <definedName name="_EPP2">#REF!</definedName>
    <definedName name="_EPP3" localSheetId="0">#REF!</definedName>
    <definedName name="_EPP3" localSheetId="1">#REF!</definedName>
    <definedName name="_EPP3" localSheetId="2">#REF!</definedName>
    <definedName name="_EPP3">#REF!</definedName>
    <definedName name="_EPP4" localSheetId="0">#REF!</definedName>
    <definedName name="_EPP4" localSheetId="1">#REF!</definedName>
    <definedName name="_EPP4" localSheetId="2">#REF!</definedName>
    <definedName name="_EPP4">#REF!</definedName>
    <definedName name="_EPP5" localSheetId="0">#REF!</definedName>
    <definedName name="_EPP5" localSheetId="1">#REF!</definedName>
    <definedName name="_EPP5" localSheetId="2">#REF!</definedName>
    <definedName name="_EPP5">#REF!</definedName>
    <definedName name="_xlnm._FilterDatabase" localSheetId="0" hidden="1">'모던텍 완속-급속 주요 충전기 부품 BOM-250529'!$A$3:$J$25</definedName>
    <definedName name="_xlnm._FilterDatabase" localSheetId="1" hidden="1">'모던텍 완속-급속 주요 충전기 부품_251114'!$A$3:$H$23</definedName>
    <definedName name="_xlnm._FilterDatabase" localSheetId="2" hidden="1">'모던텍 완속-급속 주요 충전기 부품_260522'!$A$3:$H$23</definedName>
    <definedName name="_FWM1" localSheetId="0">#REF!</definedName>
    <definedName name="_FWM1" localSheetId="1">#REF!</definedName>
    <definedName name="_FWM1" localSheetId="2">#REF!</definedName>
    <definedName name="_FWM1">#REF!</definedName>
    <definedName name="_FWM2" localSheetId="0">#REF!</definedName>
    <definedName name="_FWM2" localSheetId="1">#REF!</definedName>
    <definedName name="_FWM2" localSheetId="2">#REF!</definedName>
    <definedName name="_FWM2">#REF!</definedName>
    <definedName name="_FWM3" localSheetId="0">#REF!</definedName>
    <definedName name="_FWM3" localSheetId="1">#REF!</definedName>
    <definedName name="_FWM3" localSheetId="2">#REF!</definedName>
    <definedName name="_FWM3">#REF!</definedName>
    <definedName name="_FWM4" localSheetId="0">#REF!</definedName>
    <definedName name="_FWM4" localSheetId="1">#REF!</definedName>
    <definedName name="_FWM4" localSheetId="2">#REF!</definedName>
    <definedName name="_FWM4">#REF!</definedName>
    <definedName name="_FWM5" localSheetId="0">#REF!</definedName>
    <definedName name="_FWM5" localSheetId="1">#REF!</definedName>
    <definedName name="_FWM5" localSheetId="2">#REF!</definedName>
    <definedName name="_FWM5">#REF!</definedName>
    <definedName name="_HJK1" localSheetId="0">#REF!</definedName>
    <definedName name="_HJK1" localSheetId="1">#REF!</definedName>
    <definedName name="_HJK1" localSheetId="2">#REF!</definedName>
    <definedName name="_HJK1">#REF!</definedName>
    <definedName name="_HJK2" localSheetId="0">#REF!</definedName>
    <definedName name="_HJK2" localSheetId="1">#REF!</definedName>
    <definedName name="_HJK2" localSheetId="2">#REF!</definedName>
    <definedName name="_HJK2">#REF!</definedName>
    <definedName name="_HJK3" localSheetId="0">#REF!</definedName>
    <definedName name="_HJK3" localSheetId="1">#REF!</definedName>
    <definedName name="_HJK3" localSheetId="2">#REF!</definedName>
    <definedName name="_HJK3">#REF!</definedName>
    <definedName name="_HJK4" localSheetId="0">#REF!</definedName>
    <definedName name="_HJK4" localSheetId="1">#REF!</definedName>
    <definedName name="_HJK4" localSheetId="2">#REF!</definedName>
    <definedName name="_HJK4">#REF!</definedName>
    <definedName name="_HJK5" localSheetId="0">#REF!</definedName>
    <definedName name="_HJK5" localSheetId="1">#REF!</definedName>
    <definedName name="_HJK5" localSheetId="2">#REF!</definedName>
    <definedName name="_HJK5">#REF!</definedName>
    <definedName name="_HJK6" localSheetId="0">#REF!</definedName>
    <definedName name="_HJK6" localSheetId="1">#REF!</definedName>
    <definedName name="_HJK6" localSheetId="2">#REF!</definedName>
    <definedName name="_HJK6">#REF!</definedName>
    <definedName name="_HJK7" localSheetId="0">#REF!</definedName>
    <definedName name="_HJK7" localSheetId="1">#REF!</definedName>
    <definedName name="_HJK7" localSheetId="2">#REF!</definedName>
    <definedName name="_HJK7">#REF!</definedName>
    <definedName name="_HJK8" localSheetId="0">#REF!</definedName>
    <definedName name="_HJK8" localSheetId="1">#REF!</definedName>
    <definedName name="_HJK8" localSheetId="2">#REF!</definedName>
    <definedName name="_HJK8">#REF!</definedName>
    <definedName name="_HPP1" localSheetId="0">#REF!</definedName>
    <definedName name="_HPP1" localSheetId="1">#REF!</definedName>
    <definedName name="_HPP1" localSheetId="2">#REF!</definedName>
    <definedName name="_HPP1">#REF!</definedName>
    <definedName name="_HPP2" localSheetId="0">#REF!</definedName>
    <definedName name="_HPP2" localSheetId="1">#REF!</definedName>
    <definedName name="_HPP2" localSheetId="2">#REF!</definedName>
    <definedName name="_HPP2">#REF!</definedName>
    <definedName name="_HPP3" localSheetId="0">#REF!</definedName>
    <definedName name="_HPP3" localSheetId="1">#REF!</definedName>
    <definedName name="_HPP3" localSheetId="2">#REF!</definedName>
    <definedName name="_HPP3">#REF!</definedName>
    <definedName name="_JJ1" localSheetId="0">#REF!</definedName>
    <definedName name="_JJ1" localSheetId="1">#REF!</definedName>
    <definedName name="_JJ1" localSheetId="2">#REF!</definedName>
    <definedName name="_JJ1">#REF!</definedName>
    <definedName name="_JJ2" localSheetId="0">#REF!</definedName>
    <definedName name="_JJ2" localSheetId="1">#REF!</definedName>
    <definedName name="_JJ2" localSheetId="2">#REF!</definedName>
    <definedName name="_JJ2">#REF!</definedName>
    <definedName name="_JJ3" localSheetId="0">#REF!</definedName>
    <definedName name="_JJ3" localSheetId="1">#REF!</definedName>
    <definedName name="_JJ3" localSheetId="2">#REF!</definedName>
    <definedName name="_JJ3">#REF!</definedName>
    <definedName name="_JJ4" localSheetId="0">#REF!</definedName>
    <definedName name="_JJ4" localSheetId="1">#REF!</definedName>
    <definedName name="_JJ4" localSheetId="2">#REF!</definedName>
    <definedName name="_JJ4">#REF!</definedName>
    <definedName name="_JJ5" localSheetId="0">#REF!</definedName>
    <definedName name="_JJ5" localSheetId="1">#REF!</definedName>
    <definedName name="_JJ5" localSheetId="2">#REF!</definedName>
    <definedName name="_JJ5">#REF!</definedName>
    <definedName name="_JJ6" localSheetId="0">#REF!</definedName>
    <definedName name="_JJ6" localSheetId="1">#REF!</definedName>
    <definedName name="_JJ6" localSheetId="2">#REF!</definedName>
    <definedName name="_JJ6">#REF!</definedName>
    <definedName name="_JJ7" localSheetId="0">#REF!</definedName>
    <definedName name="_JJ7" localSheetId="1">#REF!</definedName>
    <definedName name="_JJ7" localSheetId="2">#REF!</definedName>
    <definedName name="_JJ7">#REF!</definedName>
    <definedName name="_JK1" localSheetId="0">#REF!</definedName>
    <definedName name="_JK1" localSheetId="1">#REF!</definedName>
    <definedName name="_JK1" localSheetId="2">#REF!</definedName>
    <definedName name="_JK1">#REF!</definedName>
    <definedName name="_JK2" localSheetId="0">#REF!</definedName>
    <definedName name="_JK2" localSheetId="1">#REF!</definedName>
    <definedName name="_JK2" localSheetId="2">#REF!</definedName>
    <definedName name="_JK2">#REF!</definedName>
    <definedName name="_JK3" localSheetId="0">#REF!</definedName>
    <definedName name="_JK3" localSheetId="1">#REF!</definedName>
    <definedName name="_JK3" localSheetId="2">#REF!</definedName>
    <definedName name="_JK3">#REF!</definedName>
    <definedName name="_MC1" localSheetId="0">#REF!</definedName>
    <definedName name="_MC1" localSheetId="1">#REF!</definedName>
    <definedName name="_MC1" localSheetId="2">#REF!</definedName>
    <definedName name="_MC1">#REF!</definedName>
    <definedName name="_MC2" localSheetId="0">#REF!</definedName>
    <definedName name="_MC2" localSheetId="1">#REF!</definedName>
    <definedName name="_MC2" localSheetId="2">#REF!</definedName>
    <definedName name="_MC2">#REF!</definedName>
    <definedName name="_MC3" localSheetId="0">#REF!</definedName>
    <definedName name="_MC3" localSheetId="1">#REF!</definedName>
    <definedName name="_MC3" localSheetId="2">#REF!</definedName>
    <definedName name="_MC3">#REF!</definedName>
    <definedName name="_MC4" localSheetId="0">#REF!</definedName>
    <definedName name="_MC4" localSheetId="1">#REF!</definedName>
    <definedName name="_MC4" localSheetId="2">#REF!</definedName>
    <definedName name="_MC4">#REF!</definedName>
    <definedName name="_MC5" localSheetId="0">#REF!</definedName>
    <definedName name="_MC5" localSheetId="1">#REF!</definedName>
    <definedName name="_MC5" localSheetId="2">#REF!</definedName>
    <definedName name="_MC5">#REF!</definedName>
    <definedName name="_MC6" localSheetId="0">#REF!</definedName>
    <definedName name="_MC6" localSheetId="1">#REF!</definedName>
    <definedName name="_MC6" localSheetId="2">#REF!</definedName>
    <definedName name="_MC6">#REF!</definedName>
    <definedName name="_MC7" localSheetId="0">#REF!</definedName>
    <definedName name="_MC7" localSheetId="1">#REF!</definedName>
    <definedName name="_MC7" localSheetId="2">#REF!</definedName>
    <definedName name="_MC7">#REF!</definedName>
    <definedName name="_MP1" localSheetId="0">#REF!</definedName>
    <definedName name="_MP1" localSheetId="1">#REF!</definedName>
    <definedName name="_MP1" localSheetId="2">#REF!</definedName>
    <definedName name="_MP1">#REF!</definedName>
    <definedName name="_MP2" localSheetId="0">#REF!</definedName>
    <definedName name="_MP2" localSheetId="1">#REF!</definedName>
    <definedName name="_MP2" localSheetId="2">#REF!</definedName>
    <definedName name="_MP2">#REF!</definedName>
    <definedName name="_MP3" localSheetId="0">#REF!</definedName>
    <definedName name="_MP3" localSheetId="1">#REF!</definedName>
    <definedName name="_MP3" localSheetId="2">#REF!</definedName>
    <definedName name="_MP3">#REF!</definedName>
    <definedName name="_MP4" localSheetId="0">#REF!</definedName>
    <definedName name="_MP4" localSheetId="1">#REF!</definedName>
    <definedName name="_MP4" localSheetId="2">#REF!</definedName>
    <definedName name="_MP4">#REF!</definedName>
    <definedName name="_MP5" localSheetId="0">#REF!</definedName>
    <definedName name="_MP5" localSheetId="1">#REF!</definedName>
    <definedName name="_MP5" localSheetId="2">#REF!</definedName>
    <definedName name="_MP5">#REF!</definedName>
    <definedName name="_NB1" localSheetId="0">#REF!</definedName>
    <definedName name="_NB1" localSheetId="1">#REF!</definedName>
    <definedName name="_NB1" localSheetId="2">#REF!</definedName>
    <definedName name="_NB1">#REF!</definedName>
    <definedName name="_NB2" localSheetId="0">#REF!</definedName>
    <definedName name="_NB2" localSheetId="1">#REF!</definedName>
    <definedName name="_NB2" localSheetId="2">#REF!</definedName>
    <definedName name="_NB2">#REF!</definedName>
    <definedName name="_NB3" localSheetId="0">#REF!</definedName>
    <definedName name="_NB3" localSheetId="1">#REF!</definedName>
    <definedName name="_NB3" localSheetId="2">#REF!</definedName>
    <definedName name="_NB3">#REF!</definedName>
    <definedName name="_NB4" localSheetId="0">#REF!</definedName>
    <definedName name="_NB4" localSheetId="1">#REF!</definedName>
    <definedName name="_NB4" localSheetId="2">#REF!</definedName>
    <definedName name="_NB4">#REF!</definedName>
    <definedName name="_NB5" localSheetId="0">#REF!</definedName>
    <definedName name="_NB5" localSheetId="1">#REF!</definedName>
    <definedName name="_NB5" localSheetId="2">#REF!</definedName>
    <definedName name="_NB5">#REF!</definedName>
    <definedName name="_NB6" localSheetId="0">#REF!</definedName>
    <definedName name="_NB6" localSheetId="1">#REF!</definedName>
    <definedName name="_NB6" localSheetId="2">#REF!</definedName>
    <definedName name="_NB6">#REF!</definedName>
    <definedName name="_NB7" localSheetId="0">#REF!</definedName>
    <definedName name="_NB7" localSheetId="1">#REF!</definedName>
    <definedName name="_NB7" localSheetId="2">#REF!</definedName>
    <definedName name="_NB7">#REF!</definedName>
    <definedName name="_PJ1" localSheetId="0">#REF!</definedName>
    <definedName name="_PJ1" localSheetId="1">#REF!</definedName>
    <definedName name="_PJ1" localSheetId="2">#REF!</definedName>
    <definedName name="_PJ1">#REF!</definedName>
    <definedName name="_PJ11" localSheetId="0">#REF!</definedName>
    <definedName name="_PJ11" localSheetId="1">#REF!</definedName>
    <definedName name="_PJ11" localSheetId="2">#REF!</definedName>
    <definedName name="_PJ11">#REF!</definedName>
    <definedName name="_PJ2" localSheetId="0">#REF!</definedName>
    <definedName name="_PJ2" localSheetId="1">#REF!</definedName>
    <definedName name="_PJ2" localSheetId="2">#REF!</definedName>
    <definedName name="_PJ2">#REF!</definedName>
    <definedName name="_PJ22" localSheetId="0">#REF!</definedName>
    <definedName name="_PJ22" localSheetId="1">#REF!</definedName>
    <definedName name="_PJ22" localSheetId="2">#REF!</definedName>
    <definedName name="_PJ22">#REF!</definedName>
    <definedName name="_PJ3" localSheetId="0">#REF!</definedName>
    <definedName name="_PJ3" localSheetId="1">#REF!</definedName>
    <definedName name="_PJ3" localSheetId="2">#REF!</definedName>
    <definedName name="_PJ3">#REF!</definedName>
    <definedName name="_PJ33" localSheetId="0">#REF!</definedName>
    <definedName name="_PJ33" localSheetId="1">#REF!</definedName>
    <definedName name="_PJ33" localSheetId="2">#REF!</definedName>
    <definedName name="_PJ33">#REF!</definedName>
    <definedName name="_SD1" localSheetId="0">#REF!</definedName>
    <definedName name="_SD1" localSheetId="1">#REF!</definedName>
    <definedName name="_SD1" localSheetId="2">#REF!</definedName>
    <definedName name="_SD1">#REF!</definedName>
    <definedName name="_SD2" localSheetId="0">#REF!</definedName>
    <definedName name="_SD2" localSheetId="1">#REF!</definedName>
    <definedName name="_SD2" localSheetId="2">#REF!</definedName>
    <definedName name="_SD2">#REF!</definedName>
    <definedName name="_SD3" localSheetId="0">#REF!</definedName>
    <definedName name="_SD3" localSheetId="1">#REF!</definedName>
    <definedName name="_SD3" localSheetId="2">#REF!</definedName>
    <definedName name="_SD3">#REF!</definedName>
    <definedName name="_SJ1" localSheetId="0">#REF!</definedName>
    <definedName name="_SJ1" localSheetId="1">#REF!</definedName>
    <definedName name="_SJ1" localSheetId="2">#REF!</definedName>
    <definedName name="_SJ1">#REF!</definedName>
    <definedName name="_SJ2" localSheetId="0">#REF!</definedName>
    <definedName name="_SJ2" localSheetId="1">#REF!</definedName>
    <definedName name="_SJ2" localSheetId="2">#REF!</definedName>
    <definedName name="_SJ2">#REF!</definedName>
    <definedName name="_SJ3" localSheetId="0">#REF!</definedName>
    <definedName name="_SJ3" localSheetId="1">#REF!</definedName>
    <definedName name="_SJ3" localSheetId="2">#REF!</definedName>
    <definedName name="_SJ3">#REF!</definedName>
    <definedName name="_SJ4" localSheetId="0">#REF!</definedName>
    <definedName name="_SJ4" localSheetId="1">#REF!</definedName>
    <definedName name="_SJ4" localSheetId="2">#REF!</definedName>
    <definedName name="_SJ4">#REF!</definedName>
    <definedName name="_SZ1" localSheetId="0">#REF!</definedName>
    <definedName name="_SZ1" localSheetId="1">#REF!</definedName>
    <definedName name="_SZ1" localSheetId="2">#REF!</definedName>
    <definedName name="_SZ1">#REF!</definedName>
    <definedName name="_SZ2" localSheetId="0">#REF!</definedName>
    <definedName name="_SZ2" localSheetId="1">#REF!</definedName>
    <definedName name="_SZ2" localSheetId="2">#REF!</definedName>
    <definedName name="_SZ2">#REF!</definedName>
    <definedName name="_UB1" localSheetId="0">#REF!</definedName>
    <definedName name="_UB1" localSheetId="1">#REF!</definedName>
    <definedName name="_UB1" localSheetId="2">#REF!</definedName>
    <definedName name="_UB1">#REF!</definedName>
    <definedName name="_UB10" localSheetId="0">#REF!</definedName>
    <definedName name="_UB10" localSheetId="1">#REF!</definedName>
    <definedName name="_UB10" localSheetId="2">#REF!</definedName>
    <definedName name="_UB10">#REF!</definedName>
    <definedName name="_UB2" localSheetId="0">#REF!</definedName>
    <definedName name="_UB2" localSheetId="1">#REF!</definedName>
    <definedName name="_UB2" localSheetId="2">#REF!</definedName>
    <definedName name="_UB2">#REF!</definedName>
    <definedName name="_UB3" localSheetId="0">#REF!</definedName>
    <definedName name="_UB3" localSheetId="1">#REF!</definedName>
    <definedName name="_UB3" localSheetId="2">#REF!</definedName>
    <definedName name="_UB3">#REF!</definedName>
    <definedName name="_UB4" localSheetId="0">#REF!</definedName>
    <definedName name="_UB4" localSheetId="1">#REF!</definedName>
    <definedName name="_UB4" localSheetId="2">#REF!</definedName>
    <definedName name="_UB4">#REF!</definedName>
    <definedName name="_UB5" localSheetId="0">#REF!</definedName>
    <definedName name="_UB5" localSheetId="1">#REF!</definedName>
    <definedName name="_UB5" localSheetId="2">#REF!</definedName>
    <definedName name="_UB5">#REF!</definedName>
    <definedName name="_UB6" localSheetId="0">#REF!</definedName>
    <definedName name="_UB6" localSheetId="1">#REF!</definedName>
    <definedName name="_UB6" localSheetId="2">#REF!</definedName>
    <definedName name="_UB6">#REF!</definedName>
    <definedName name="_UB7" localSheetId="0">#REF!</definedName>
    <definedName name="_UB7" localSheetId="1">#REF!</definedName>
    <definedName name="_UB7" localSheetId="2">#REF!</definedName>
    <definedName name="_UB7">#REF!</definedName>
    <definedName name="_UB8" localSheetId="0">#REF!</definedName>
    <definedName name="_UB8" localSheetId="1">#REF!</definedName>
    <definedName name="_UB8" localSheetId="2">#REF!</definedName>
    <definedName name="_UB8">#REF!</definedName>
    <definedName name="_UB9" localSheetId="0">#REF!</definedName>
    <definedName name="_UB9" localSheetId="1">#REF!</definedName>
    <definedName name="_UB9" localSheetId="2">#REF!</definedName>
    <definedName name="_UB9">#REF!</definedName>
    <definedName name="_YY1" localSheetId="0">#REF!</definedName>
    <definedName name="_YY1" localSheetId="1">#REF!</definedName>
    <definedName name="_YY1" localSheetId="2">#REF!</definedName>
    <definedName name="_YY1">#REF!</definedName>
    <definedName name="_YY2" localSheetId="0">#REF!</definedName>
    <definedName name="_YY2" localSheetId="1">#REF!</definedName>
    <definedName name="_YY2" localSheetId="2">#REF!</definedName>
    <definedName name="_YY2">#REF!</definedName>
    <definedName name="AA" localSheetId="0">#REF!</definedName>
    <definedName name="AA" localSheetId="1">#REF!</definedName>
    <definedName name="AA" localSheetId="2">#REF!</definedName>
    <definedName name="AA">#REF!</definedName>
    <definedName name="AB" localSheetId="0">#REF!</definedName>
    <definedName name="AB" localSheetId="1">#REF!</definedName>
    <definedName name="AB" localSheetId="2">#REF!</definedName>
    <definedName name="AB">#REF!</definedName>
    <definedName name="AC" localSheetId="0">#REF!</definedName>
    <definedName name="AC" localSheetId="1">#REF!</definedName>
    <definedName name="AC" localSheetId="2">#REF!</definedName>
    <definedName name="AC">#REF!</definedName>
    <definedName name="AD" localSheetId="0">#REF!</definedName>
    <definedName name="AD" localSheetId="1">#REF!</definedName>
    <definedName name="AD" localSheetId="2">#REF!</definedName>
    <definedName name="AD">#REF!</definedName>
    <definedName name="AE" localSheetId="0">#REF!</definedName>
    <definedName name="AE" localSheetId="1">#REF!</definedName>
    <definedName name="AE" localSheetId="2">#REF!</definedName>
    <definedName name="AE">#REF!</definedName>
    <definedName name="AF" localSheetId="0">#REF!</definedName>
    <definedName name="AF" localSheetId="1">#REF!</definedName>
    <definedName name="AF" localSheetId="2">#REF!</definedName>
    <definedName name="AF">#REF!</definedName>
    <definedName name="dc" localSheetId="0">#REF!</definedName>
    <definedName name="dc" localSheetId="1">#REF!</definedName>
    <definedName name="dc" localSheetId="2">#REF!</definedName>
    <definedName name="dc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PL" localSheetId="0">#REF!</definedName>
    <definedName name="FPL" localSheetId="1">#REF!</definedName>
    <definedName name="FPL" localSheetId="2">#REF!</definedName>
    <definedName name="FPL">#REF!</definedName>
    <definedName name="HA" localSheetId="0">#REF!</definedName>
    <definedName name="HA" localSheetId="1">#REF!</definedName>
    <definedName name="HA" localSheetId="2">#REF!</definedName>
    <definedName name="HA">#REF!</definedName>
    <definedName name="HB" localSheetId="0">#REF!</definedName>
    <definedName name="HB" localSheetId="1">#REF!</definedName>
    <definedName name="HB" localSheetId="2">#REF!</definedName>
    <definedName name="HB">#REF!</definedName>
    <definedName name="HC" localSheetId="0">#REF!</definedName>
    <definedName name="HC" localSheetId="1">#REF!</definedName>
    <definedName name="HC" localSheetId="2">#REF!</definedName>
    <definedName name="HC">#REF!</definedName>
    <definedName name="hj" localSheetId="0">#REF!</definedName>
    <definedName name="hj" localSheetId="1">#REF!</definedName>
    <definedName name="hj" localSheetId="2">#REF!</definedName>
    <definedName name="hj">#REF!</definedName>
    <definedName name="HWANG" localSheetId="0">#REF!</definedName>
    <definedName name="HWANG" localSheetId="1">#REF!</definedName>
    <definedName name="HWANG" localSheetId="2">#REF!</definedName>
    <definedName name="HWANG">#REF!</definedName>
    <definedName name="HYA" localSheetId="0">#REF!</definedName>
    <definedName name="HYA" localSheetId="1">#REF!</definedName>
    <definedName name="HYA" localSheetId="2">#REF!</definedName>
    <definedName name="HYA">#REF!</definedName>
    <definedName name="HYB" localSheetId="0">#REF!</definedName>
    <definedName name="HYB" localSheetId="1">#REF!</definedName>
    <definedName name="HYB" localSheetId="2">#REF!</definedName>
    <definedName name="HYB">#REF!</definedName>
    <definedName name="HYC" localSheetId="0">#REF!</definedName>
    <definedName name="HYC" localSheetId="1">#REF!</definedName>
    <definedName name="HYC" localSheetId="2">#REF!</definedName>
    <definedName name="HYC">#REF!</definedName>
    <definedName name="JJ" localSheetId="0">[1]사진!#REF!</definedName>
    <definedName name="JJ" localSheetId="1">[1]사진!#REF!</definedName>
    <definedName name="JJ" localSheetId="2">[1]사진!#REF!</definedName>
    <definedName name="JJ">[1]사진!#REF!</definedName>
    <definedName name="JJA" localSheetId="0">#REF!</definedName>
    <definedName name="JJA" localSheetId="1">#REF!</definedName>
    <definedName name="JJA" localSheetId="2">#REF!</definedName>
    <definedName name="JJA">#REF!</definedName>
    <definedName name="KJ" localSheetId="0">#REF!</definedName>
    <definedName name="KJ" localSheetId="1">#REF!</definedName>
    <definedName name="KJ" localSheetId="2">#REF!</definedName>
    <definedName name="KJ">#REF!</definedName>
    <definedName name="LPL" localSheetId="0">#REF!</definedName>
    <definedName name="LPL" localSheetId="1">#REF!</definedName>
    <definedName name="LPL" localSheetId="2">#REF!</definedName>
    <definedName name="LPL">#REF!</definedName>
    <definedName name="mh" localSheetId="0">#REF!</definedName>
    <definedName name="mh" localSheetId="1">#REF!</definedName>
    <definedName name="mh" localSheetId="2">#REF!</definedName>
    <definedName name="mh">#REF!</definedName>
    <definedName name="PD" localSheetId="0">#REF!</definedName>
    <definedName name="PD" localSheetId="1">#REF!</definedName>
    <definedName name="PD" localSheetId="2">#REF!</definedName>
    <definedName name="PD">#REF!</definedName>
    <definedName name="PLF" localSheetId="0">#REF!</definedName>
    <definedName name="PLF" localSheetId="1">#REF!</definedName>
    <definedName name="PLF" localSheetId="2">#REF!</definedName>
    <definedName name="PLF">#REF!</definedName>
    <definedName name="PLL" localSheetId="0">#REF!</definedName>
    <definedName name="PLL" localSheetId="1">#REF!</definedName>
    <definedName name="PLL" localSheetId="2">#REF!</definedName>
    <definedName name="PLL">#REF!</definedName>
    <definedName name="_xlnm.Print_Area" localSheetId="2">'모던텍 완속-급속 주요 충전기 부품_260522'!$A$1:$G$32</definedName>
    <definedName name="_xlnm.Print_Titles" localSheetId="0">'모던텍 완속-급속 주요 충전기 부품 BOM-250529'!$3:$3</definedName>
    <definedName name="_xlnm.Print_Titles" localSheetId="1">'모던텍 완속-급속 주요 충전기 부품_251114'!$3:$3</definedName>
    <definedName name="_xlnm.Print_Titles" localSheetId="2">'모던텍 완속-급속 주요 충전기 부품_260522'!$3:$3</definedName>
    <definedName name="TT" localSheetId="0">'[2]품의서(TL)'!#REF!</definedName>
    <definedName name="TT" localSheetId="1">'[2]품의서(TL)'!#REF!</definedName>
    <definedName name="TT" localSheetId="2">'[2]품의서(TL)'!#REF!</definedName>
    <definedName name="TT">'[2]품의서(TL)'!#REF!</definedName>
    <definedName name="YY" localSheetId="0">#REF!</definedName>
    <definedName name="YY" localSheetId="1">#REF!</definedName>
    <definedName name="YY" localSheetId="2">#REF!</definedName>
    <definedName name="YY">#REF!</definedName>
    <definedName name="머리글" localSheetId="0">#REF!</definedName>
    <definedName name="머리글" localSheetId="1">#REF!</definedName>
    <definedName name="머리글" localSheetId="2">#REF!</definedName>
    <definedName name="머리글">#REF!</definedName>
    <definedName name="수주가" localSheetId="0">#REF!</definedName>
    <definedName name="수주가" localSheetId="1">#REF!</definedName>
    <definedName name="수주가" localSheetId="2">#REF!</definedName>
    <definedName name="수주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G10" i="1" l="1"/>
  <c r="H10" i="1" s="1"/>
  <c r="G11" i="1"/>
  <c r="H11" i="1" s="1"/>
  <c r="H12" i="1"/>
  <c r="H13" i="1"/>
  <c r="G14" i="1"/>
  <c r="H14" i="1" s="1"/>
  <c r="H15" i="1"/>
  <c r="H16" i="1"/>
  <c r="G19" i="1"/>
  <c r="G20" i="1"/>
  <c r="G21" i="1"/>
  <c r="G22" i="1"/>
  <c r="H22" i="1" s="1"/>
  <c r="G23" i="1"/>
  <c r="H23" i="1" s="1"/>
  <c r="H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G24" i="1" s="1"/>
  <c r="H24" i="1" s="1"/>
  <c r="K25" i="1"/>
  <c r="G25" i="1" s="1"/>
  <c r="H25" i="1" s="1"/>
  <c r="K4" i="1"/>
  <c r="H19" i="1"/>
  <c r="J5" i="1"/>
  <c r="J6" i="1"/>
  <c r="J7" i="1"/>
  <c r="J8" i="1"/>
  <c r="J9" i="1"/>
  <c r="J10" i="1"/>
  <c r="J11" i="1"/>
  <c r="J12" i="1"/>
  <c r="J13" i="1"/>
  <c r="J14" i="1"/>
  <c r="J16" i="1"/>
  <c r="J19" i="1"/>
  <c r="J20" i="1"/>
  <c r="J21" i="1"/>
  <c r="J22" i="1"/>
  <c r="J23" i="1"/>
  <c r="J4" i="1"/>
  <c r="H21" i="1"/>
  <c r="H20" i="1"/>
  <c r="H18" i="1"/>
  <c r="H17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<sst xmlns="http://schemas.openxmlformats.org/spreadsheetml/2006/main" count="229" uniqueCount="61">
  <si>
    <t>급속 / 완속 충전기 주요 부속품 AS용 단가표 ( 25년 5월 기준)</t>
    <phoneticPr fontId="3" type="noConversion"/>
  </si>
  <si>
    <t>번호</t>
  </si>
  <si>
    <t>구분</t>
    <phoneticPr fontId="3" type="noConversion"/>
  </si>
  <si>
    <t>품명</t>
    <phoneticPr fontId="3" type="noConversion"/>
  </si>
  <si>
    <t>규격</t>
    <phoneticPr fontId="3" type="noConversion"/>
  </si>
  <si>
    <t>차액</t>
    <phoneticPr fontId="3" type="noConversion"/>
  </si>
  <si>
    <t>비고</t>
    <phoneticPr fontId="3" type="noConversion"/>
  </si>
  <si>
    <t>급속</t>
    <phoneticPr fontId="3" type="noConversion"/>
  </si>
  <si>
    <t>AC미터</t>
    <phoneticPr fontId="3" type="noConversion"/>
  </si>
  <si>
    <t>OMWH-320D-B(좌타입)</t>
    <phoneticPr fontId="3" type="noConversion"/>
  </si>
  <si>
    <t>DC미터 전력량계</t>
    <phoneticPr fontId="3" type="noConversion"/>
  </si>
  <si>
    <t>1P2W 1000V 200A</t>
    <phoneticPr fontId="3" type="noConversion"/>
  </si>
  <si>
    <t>공용</t>
    <phoneticPr fontId="3" type="noConversion"/>
  </si>
  <si>
    <t>IC결제만달기</t>
    <phoneticPr fontId="3" type="noConversion"/>
  </si>
  <si>
    <t>IC/RF/MS(SVM600)</t>
    <phoneticPr fontId="3" type="noConversion"/>
  </si>
  <si>
    <t>완속</t>
    <phoneticPr fontId="3" type="noConversion"/>
  </si>
  <si>
    <t>LCD</t>
    <phoneticPr fontId="3" type="noConversion"/>
  </si>
  <si>
    <t>8인치 액정 패널</t>
    <phoneticPr fontId="3" type="noConversion"/>
  </si>
  <si>
    <t>PLC 모뎀</t>
  </si>
  <si>
    <t>PEPPERMINT-NNA_000(신형)</t>
    <phoneticPr fontId="3" type="noConversion"/>
  </si>
  <si>
    <t>PEPPERMINT-NNA_001(신형)</t>
    <phoneticPr fontId="3" type="noConversion"/>
  </si>
  <si>
    <t>PEPPERMINT-000(구형)</t>
    <phoneticPr fontId="3" type="noConversion"/>
  </si>
  <si>
    <t>단종(제작은 가능)</t>
    <phoneticPr fontId="3" type="noConversion"/>
  </si>
  <si>
    <t>PEPPERMINT-001(구형)</t>
    <phoneticPr fontId="3" type="noConversion"/>
  </si>
  <si>
    <t>RFID리더기</t>
  </si>
  <si>
    <t>ATM-100</t>
  </si>
  <si>
    <t>누전차단기</t>
    <phoneticPr fontId="3" type="noConversion"/>
  </si>
  <si>
    <t>ELCB 4P 100A TYPE (감도전류 30/50/100mA)</t>
    <phoneticPr fontId="3" type="noConversion"/>
  </si>
  <si>
    <t>보드</t>
    <phoneticPr fontId="3" type="noConversion"/>
  </si>
  <si>
    <t>EV Charger Controller V2.1</t>
    <phoneticPr fontId="3" type="noConversion"/>
  </si>
  <si>
    <t>MDI-UC-1 V2.0 (8인치보드), (MAX 1A)</t>
    <phoneticPr fontId="3" type="noConversion"/>
  </si>
  <si>
    <t>MDI-UC1-PILOT V4.0</t>
    <phoneticPr fontId="3" type="noConversion"/>
  </si>
  <si>
    <t>산업용 PC</t>
  </si>
  <si>
    <t>12.1인치(신형)</t>
    <phoneticPr fontId="3" type="noConversion"/>
  </si>
  <si>
    <t>12.1인치(구형)</t>
    <phoneticPr fontId="3" type="noConversion"/>
  </si>
  <si>
    <t>충전케이블</t>
    <phoneticPr fontId="3" type="noConversion"/>
  </si>
  <si>
    <t>SW-EVT201MD-006 (CCS1/200A)</t>
    <phoneticPr fontId="3" type="noConversion"/>
  </si>
  <si>
    <t>탈피 500mm</t>
    <phoneticPr fontId="3" type="noConversion"/>
  </si>
  <si>
    <t>SW-EVTN151MDLP-007 (CCS1/150A)</t>
    <phoneticPr fontId="3" type="noConversion"/>
  </si>
  <si>
    <t>V3-DSIEC2e-EV63P-6m/3상</t>
    <phoneticPr fontId="3" type="noConversion"/>
  </si>
  <si>
    <t>KW1CGY10PDL0600E(6M)</t>
    <phoneticPr fontId="3" type="noConversion"/>
  </si>
  <si>
    <t>AC 5핀 32A 5M 완속 C타입 케이블</t>
    <phoneticPr fontId="3" type="noConversion"/>
  </si>
  <si>
    <t>파워모듈</t>
    <phoneticPr fontId="3" type="noConversion"/>
  </si>
  <si>
    <t>REG1K0100G (30KW)</t>
    <phoneticPr fontId="3" type="noConversion"/>
  </si>
  <si>
    <t>REG50040 (15KW)</t>
    <phoneticPr fontId="3" type="noConversion"/>
  </si>
  <si>
    <t xml:space="preserve"> - 작성년월 : 2025년 05월</t>
    <phoneticPr fontId="3" type="noConversion"/>
  </si>
  <si>
    <t>현재 CS팀 단가</t>
    <phoneticPr fontId="3" type="noConversion"/>
  </si>
  <si>
    <t>기존 옴니
계약 단가</t>
    <phoneticPr fontId="3" type="noConversion"/>
  </si>
  <si>
    <t>급속 / 완속 충전기 주요 부속품 AS용 단가표 ( 25년 기준)</t>
    <phoneticPr fontId="3" type="noConversion"/>
  </si>
  <si>
    <t xml:space="preserve"> - 작성년월 : 2025년</t>
    <phoneticPr fontId="3" type="noConversion"/>
  </si>
  <si>
    <t>12.1인치(구형) / 단종</t>
    <phoneticPr fontId="3" type="noConversion"/>
  </si>
  <si>
    <t xml:space="preserve">
 1. 출장 교통비
   1) 전국-\100,000(VAT 별도)
2. 작업비 : \70,000원
3. 기타사항
   1) 상기표에 명시되지 않은 품목은  교체시점에 안내예정
   2) 1회 출동시 출장 교통비+작업비 청구 예정
      (충전기 자체 문제가 아닌 전기공사, 관제 시스템 설정 오류 등의 사유로 출장시에도 청구 대상임)
   3) 주요 부속품의 단가 변동시 별도 안내 예정
</t>
    <phoneticPr fontId="3" type="noConversion"/>
  </si>
  <si>
    <t xml:space="preserve">
 1. 출장 교통비
   1) 전국-\100,000(VAT 별도)
2. 작업비 : \70,000원
3. 기타사항
   1) 상기표에 명시되지 않은 품목은  교체시점에 안내예정
   2) 1회 출동시 출장 교통비+작업비 청구 예정
      (충전기 자체 문제가 아닌 전기공사, 관제 시스템 설정 오류 등의 사유로 출장시에도 청구 대상임)
   3) 주요 부속품의 단가 변동시 별도 안내 예정
</t>
    <phoneticPr fontId="3" type="noConversion"/>
  </si>
  <si>
    <t>원가</t>
    <phoneticPr fontId="3" type="noConversion"/>
  </si>
  <si>
    <t>1.5배</t>
    <phoneticPr fontId="3" type="noConversion"/>
  </si>
  <si>
    <t>현재 CS팀 단가</t>
  </si>
  <si>
    <t>-</t>
    <phoneticPr fontId="3" type="noConversion"/>
  </si>
  <si>
    <t>급속 / 완속 충전기 주요 부속품 AS용 단가표 ( 26년 기준)</t>
    <phoneticPr fontId="3" type="noConversion"/>
  </si>
  <si>
    <t xml:space="preserve"> - 작성년월 : 2026년</t>
    <phoneticPr fontId="3" type="noConversion"/>
  </si>
  <si>
    <t xml:space="preserve"> 1. 출장 교통비
   1) 전국-\100,000(VAT 별도)
2. 작업비 : \70,000원
3. 기타사항
   1) 상기표에 명시되지 않은 품목은  교체시점에 안내예정
   2) 1회 출동시 출장 교통비+작업비 청구 예정
      (충전기 자체 문제가 아닌 전기공사, 관제 시스템 설정 오류 등의 사유로 출장시에도 청구 대상임)
   3) 주요 부속품의 단가 변동시 별도 안내 예정</t>
    <phoneticPr fontId="3" type="noConversion"/>
  </si>
  <si>
    <t>변경 옴니
계약 단가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</si>
</sst>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0#"/>
    <numFmt numFmtId="178" formatCode="mm&quot;월&quot;\ dd&quot;일&quot;"/>
    <numFmt numFmtId="179" formatCode="#,##0_ ;[Red]\-#,##0\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41" fontId="9" fillId="0" borderId="1" xfId="1" applyFont="1" applyFill="1" applyBorder="1" applyAlignment="1">
      <alignment horizontal="right" vertical="center"/>
    </xf>
    <xf numFmtId="38" fontId="9" fillId="0" borderId="1" xfId="1" applyNumberFormat="1" applyFont="1" applyFill="1" applyBorder="1" applyAlignment="1">
      <alignment horizontal="right" vertical="center"/>
    </xf>
    <xf numFmtId="178" fontId="9" fillId="0" borderId="1" xfId="0" applyNumberFormat="1" applyFont="1" applyBorder="1" applyAlignment="1">
      <alignment horizontal="left" vertical="center"/>
    </xf>
    <xf numFmtId="179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indent="1"/>
    </xf>
    <xf numFmtId="178" fontId="8" fillId="0" borderId="1" xfId="0" applyNumberFormat="1" applyFont="1" applyBorder="1" applyAlignment="1">
      <alignment horizontal="left" vertical="center"/>
    </xf>
    <xf numFmtId="178" fontId="11" fillId="0" borderId="1" xfId="0" applyNumberFormat="1" applyFont="1" applyBorder="1" applyAlignment="1">
      <alignment horizontal="left" vertical="center" wrapText="1"/>
    </xf>
    <xf numFmtId="178" fontId="9" fillId="0" borderId="1" xfId="0" applyNumberFormat="1" applyFont="1" applyBorder="1" applyAlignment="1">
      <alignment horizontal="left" vertical="center" wrapText="1"/>
    </xf>
    <xf numFmtId="177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41" fontId="9" fillId="0" borderId="2" xfId="1" applyFont="1" applyFill="1" applyBorder="1" applyAlignment="1">
      <alignment horizontal="right" vertical="center"/>
    </xf>
    <xf numFmtId="178" fontId="9" fillId="0" borderId="2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 wrapText="1"/>
    </xf>
    <xf numFmtId="43" fontId="7" fillId="0" borderId="0" xfId="0" applyNumberFormat="1" applyFont="1">
      <alignment vertical="center"/>
    </xf>
    <xf numFmtId="41" fontId="9" fillId="2" borderId="1" xfId="1" applyFont="1" applyFill="1" applyBorder="1" applyAlignment="1">
      <alignment horizontal="right" vertical="center"/>
    </xf>
    <xf numFmtId="43" fontId="7" fillId="2" borderId="0" xfId="0" applyNumberFormat="1" applyFont="1" applyFill="1">
      <alignment vertical="center"/>
    </xf>
    <xf numFmtId="43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16.hanmail.net/Mail-bin/_view_submsg.cgi/&#54408;&#51032;ST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2;&#50756;01\&#44277;&#50976;&#51088;&#47308;\Users\hwtm004\AppData\Local\Microsoft\Windows\Temporary%20Internet%20Files\Content.Outlook\OXX73GJO\BACK%20UP\&#48148;&#53461;&#54868;&#47732;\PJT2008\&#46988;&#45796;6&#49549;(&#50872;&#49328;)\&#44204;&#51201;&#50629;&#47924;\My%20Documents\&#50896;&#44032;\lee\&#49444;&#44228;-&#49373;&#49328;&#51088;&#47308;\&#44204;&#51201;&#49324;&#50577;&#49436;\PPS\PPS-total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품의서"/>
      <sheetName val="사진"/>
      <sheetName val="Sheet2"/>
      <sheetName val="Sheet3"/>
      <sheetName val="기준"/>
      <sheetName val="품의STD"/>
      <sheetName val="6월"/>
      <sheetName val="CAUDIT"/>
      <sheetName val="전산품의"/>
      <sheetName val="#REF"/>
      <sheetName val="TCA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품의서(TL)"/>
      <sheetName val="테스트진척현황(POS)"/>
      <sheetName val="712"/>
      <sheetName val="노원열병합  건축공사기성내역서"/>
      <sheetName val="소유주(원)"/>
      <sheetName val="_x0000__x0004_"/>
      <sheetName val="월간단가"/>
      <sheetName val="친지"/>
      <sheetName val="full (2)"/>
      <sheetName val="물량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8E84-AF66-42D6-81AB-8664D7099C27}">
  <sheetPr>
    <tabColor rgb="FFFFFF00"/>
    <pageSetUpPr fitToPage="1"/>
  </sheetPr>
  <dimension ref="A1:L149"/>
  <sheetViews>
    <sheetView topLeftCell="A9" zoomScale="70" zoomScaleNormal="70" workbookViewId="0">
      <selection activeCell="I9" sqref="I1:I1048576"/>
    </sheetView>
  </sheetViews>
  <sheetFormatPr defaultColWidth="8.625" defaultRowHeight="13.5" x14ac:dyDescent="0.3"/>
  <cols>
    <col min="1" max="1" width="1.375" style="7" customWidth="1"/>
    <col min="2" max="3" width="8.75" style="7" customWidth="1"/>
    <col min="4" max="4" width="25.75" style="7" customWidth="1"/>
    <col min="5" max="5" width="46.375" style="8" bestFit="1" customWidth="1"/>
    <col min="6" max="8" width="15.75" style="7" customWidth="1"/>
    <col min="9" max="9" width="17.75" style="9" bestFit="1" customWidth="1"/>
    <col min="10" max="10" width="14.125" style="7" customWidth="1"/>
    <col min="11" max="12" width="11.375" style="7" bestFit="1" customWidth="1"/>
    <col min="13" max="16384" width="8.625" style="7"/>
  </cols>
  <sheetData>
    <row r="1" spans="1:11" s="1" customFormat="1" ht="49.9" customHeight="1" x14ac:dyDescent="0.3">
      <c r="B1" s="33" t="s">
        <v>0</v>
      </c>
      <c r="C1" s="33"/>
      <c r="D1" s="33"/>
      <c r="E1" s="33"/>
      <c r="F1" s="33"/>
      <c r="G1" s="33"/>
      <c r="H1" s="33"/>
      <c r="I1" s="33"/>
    </row>
    <row r="2" spans="1:11" s="1" customFormat="1" ht="32.450000000000003" customHeight="1" x14ac:dyDescent="0.3">
      <c r="B2" s="2" t="s">
        <v>45</v>
      </c>
      <c r="C2" s="3"/>
      <c r="D2" s="4"/>
      <c r="E2" s="5"/>
      <c r="I2" s="6"/>
    </row>
    <row r="3" spans="1:11" s="1" customFormat="1" ht="34.9" customHeight="1" x14ac:dyDescent="0.3">
      <c r="B3" s="10" t="s">
        <v>1</v>
      </c>
      <c r="C3" s="10" t="s">
        <v>2</v>
      </c>
      <c r="D3" s="10" t="s">
        <v>3</v>
      </c>
      <c r="E3" s="10" t="s">
        <v>4</v>
      </c>
      <c r="F3" s="28" t="s">
        <v>47</v>
      </c>
      <c r="G3" s="11" t="s">
        <v>46</v>
      </c>
      <c r="H3" s="11" t="s">
        <v>5</v>
      </c>
      <c r="I3" s="10" t="s">
        <v>6</v>
      </c>
      <c r="J3" s="1" t="s">
        <v>53</v>
      </c>
      <c r="K3" s="1" t="s">
        <v>54</v>
      </c>
    </row>
    <row r="4" spans="1:11" ht="34.9" customHeight="1" x14ac:dyDescent="0.3">
      <c r="B4" s="12">
        <v>1</v>
      </c>
      <c r="C4" s="12" t="s">
        <v>7</v>
      </c>
      <c r="D4" s="13" t="s">
        <v>8</v>
      </c>
      <c r="E4" s="14" t="s">
        <v>9</v>
      </c>
      <c r="F4" s="15">
        <v>130000</v>
      </c>
      <c r="G4" s="15">
        <v>130000</v>
      </c>
      <c r="H4" s="16">
        <f>G4-F4</f>
        <v>0</v>
      </c>
      <c r="I4" s="17"/>
      <c r="J4" s="29">
        <f>F4/1.4</f>
        <v>92857.14285714287</v>
      </c>
      <c r="K4" s="29">
        <f>J4*1.5</f>
        <v>139285.71428571432</v>
      </c>
    </row>
    <row r="5" spans="1:11" ht="34.9" customHeight="1" x14ac:dyDescent="0.3">
      <c r="B5" s="12">
        <v>2</v>
      </c>
      <c r="C5" s="12" t="s">
        <v>7</v>
      </c>
      <c r="D5" s="13" t="s">
        <v>10</v>
      </c>
      <c r="E5" s="14" t="s">
        <v>11</v>
      </c>
      <c r="F5" s="15">
        <v>185000</v>
      </c>
      <c r="G5" s="15">
        <v>190000</v>
      </c>
      <c r="H5" s="16">
        <f t="shared" ref="H5:H25" si="0">G5-F5</f>
        <v>5000</v>
      </c>
      <c r="I5" s="17"/>
      <c r="J5" s="29">
        <f t="shared" ref="J5:J23" si="1">F5/1.4</f>
        <v>132142.85714285716</v>
      </c>
      <c r="K5" s="29">
        <f t="shared" ref="K5:K25" si="2">J5*1.5</f>
        <v>198214.28571428574</v>
      </c>
    </row>
    <row r="6" spans="1:11" ht="34.9" customHeight="1" x14ac:dyDescent="0.3">
      <c r="B6" s="12">
        <v>3</v>
      </c>
      <c r="C6" s="12" t="s">
        <v>12</v>
      </c>
      <c r="D6" s="13" t="s">
        <v>13</v>
      </c>
      <c r="E6" s="14" t="s">
        <v>14</v>
      </c>
      <c r="F6" s="15">
        <v>385000</v>
      </c>
      <c r="G6" s="15">
        <v>400000</v>
      </c>
      <c r="H6" s="16">
        <f t="shared" si="0"/>
        <v>15000</v>
      </c>
      <c r="I6" s="18"/>
      <c r="J6" s="29">
        <f t="shared" si="1"/>
        <v>275000</v>
      </c>
      <c r="K6" s="29">
        <f t="shared" si="2"/>
        <v>412500</v>
      </c>
    </row>
    <row r="7" spans="1:11" s="1" customFormat="1" ht="34.9" customHeight="1" x14ac:dyDescent="0.3">
      <c r="A7" s="7"/>
      <c r="B7" s="12">
        <v>4</v>
      </c>
      <c r="C7" s="12" t="s">
        <v>15</v>
      </c>
      <c r="D7" s="13" t="s">
        <v>16</v>
      </c>
      <c r="E7" s="14" t="s">
        <v>17</v>
      </c>
      <c r="F7" s="15">
        <v>120000</v>
      </c>
      <c r="G7" s="15">
        <v>130000</v>
      </c>
      <c r="H7" s="16">
        <f t="shared" si="0"/>
        <v>10000</v>
      </c>
      <c r="I7" s="17"/>
      <c r="J7" s="29">
        <f t="shared" si="1"/>
        <v>85714.285714285725</v>
      </c>
      <c r="K7" s="29">
        <f t="shared" si="2"/>
        <v>128571.42857142858</v>
      </c>
    </row>
    <row r="8" spans="1:11" ht="34.9" customHeight="1" x14ac:dyDescent="0.3">
      <c r="B8" s="12">
        <v>5</v>
      </c>
      <c r="C8" s="12" t="s">
        <v>7</v>
      </c>
      <c r="D8" s="13" t="s">
        <v>18</v>
      </c>
      <c r="E8" s="19" t="s">
        <v>19</v>
      </c>
      <c r="F8" s="15">
        <v>500000</v>
      </c>
      <c r="G8" s="15">
        <v>500000</v>
      </c>
      <c r="H8" s="16">
        <f t="shared" si="0"/>
        <v>0</v>
      </c>
      <c r="I8" s="20"/>
      <c r="J8" s="29">
        <f t="shared" si="1"/>
        <v>357142.85714285716</v>
      </c>
      <c r="K8" s="29">
        <f t="shared" si="2"/>
        <v>535714.28571428568</v>
      </c>
    </row>
    <row r="9" spans="1:11" ht="34.9" customHeight="1" x14ac:dyDescent="0.3">
      <c r="B9" s="12">
        <v>6</v>
      </c>
      <c r="C9" s="12" t="s">
        <v>7</v>
      </c>
      <c r="D9" s="13" t="s">
        <v>18</v>
      </c>
      <c r="E9" s="19" t="s">
        <v>20</v>
      </c>
      <c r="F9" s="15">
        <v>500000</v>
      </c>
      <c r="G9" s="15">
        <v>500000</v>
      </c>
      <c r="H9" s="16">
        <f t="shared" si="0"/>
        <v>0</v>
      </c>
      <c r="I9" s="20"/>
      <c r="J9" s="29">
        <f t="shared" si="1"/>
        <v>357142.85714285716</v>
      </c>
      <c r="K9" s="29">
        <f t="shared" si="2"/>
        <v>535714.28571428568</v>
      </c>
    </row>
    <row r="10" spans="1:11" ht="34.9" customHeight="1" x14ac:dyDescent="0.3">
      <c r="B10" s="12">
        <v>7</v>
      </c>
      <c r="C10" s="12" t="s">
        <v>7</v>
      </c>
      <c r="D10" s="13" t="s">
        <v>18</v>
      </c>
      <c r="E10" s="19" t="s">
        <v>21</v>
      </c>
      <c r="F10" s="15">
        <v>250000</v>
      </c>
      <c r="G10" s="15">
        <f t="shared" ref="G10:G25" si="3">ROUNDUP(K10,-3)</f>
        <v>268000</v>
      </c>
      <c r="H10" s="16">
        <f t="shared" si="0"/>
        <v>18000</v>
      </c>
      <c r="I10" s="21" t="s">
        <v>22</v>
      </c>
      <c r="J10" s="29">
        <f t="shared" si="1"/>
        <v>178571.42857142858</v>
      </c>
      <c r="K10" s="29">
        <f t="shared" si="2"/>
        <v>267857.14285714284</v>
      </c>
    </row>
    <row r="11" spans="1:11" s="1" customFormat="1" ht="34.9" customHeight="1" x14ac:dyDescent="0.3">
      <c r="A11" s="7"/>
      <c r="B11" s="12">
        <v>8</v>
      </c>
      <c r="C11" s="12" t="s">
        <v>7</v>
      </c>
      <c r="D11" s="13" t="s">
        <v>18</v>
      </c>
      <c r="E11" s="19" t="s">
        <v>23</v>
      </c>
      <c r="F11" s="15">
        <v>250000</v>
      </c>
      <c r="G11" s="15">
        <f t="shared" si="3"/>
        <v>268000</v>
      </c>
      <c r="H11" s="16">
        <f t="shared" si="0"/>
        <v>18000</v>
      </c>
      <c r="I11" s="21" t="s">
        <v>22</v>
      </c>
      <c r="J11" s="29">
        <f t="shared" si="1"/>
        <v>178571.42857142858</v>
      </c>
      <c r="K11" s="29">
        <f t="shared" si="2"/>
        <v>267857.14285714284</v>
      </c>
    </row>
    <row r="12" spans="1:11" customFormat="1" ht="34.9" customHeight="1" x14ac:dyDescent="0.3">
      <c r="B12" s="12">
        <v>9</v>
      </c>
      <c r="C12" s="12" t="s">
        <v>12</v>
      </c>
      <c r="D12" s="13" t="s">
        <v>24</v>
      </c>
      <c r="E12" s="14" t="s">
        <v>25</v>
      </c>
      <c r="F12" s="15">
        <v>94000</v>
      </c>
      <c r="G12" s="15">
        <v>100000</v>
      </c>
      <c r="H12" s="16">
        <f t="shared" si="0"/>
        <v>6000</v>
      </c>
      <c r="I12" s="17"/>
      <c r="J12" s="29">
        <f t="shared" si="1"/>
        <v>67142.857142857145</v>
      </c>
      <c r="K12" s="29">
        <f t="shared" si="2"/>
        <v>100714.28571428571</v>
      </c>
    </row>
    <row r="13" spans="1:11" ht="34.9" customHeight="1" x14ac:dyDescent="0.3">
      <c r="B13" s="12">
        <v>10</v>
      </c>
      <c r="C13" s="12" t="s">
        <v>7</v>
      </c>
      <c r="D13" s="13" t="s">
        <v>26</v>
      </c>
      <c r="E13" s="14" t="s">
        <v>27</v>
      </c>
      <c r="F13" s="15">
        <v>260000</v>
      </c>
      <c r="G13" s="15">
        <v>270000</v>
      </c>
      <c r="H13" s="16">
        <f t="shared" si="0"/>
        <v>10000</v>
      </c>
      <c r="I13" s="17"/>
      <c r="J13" s="29">
        <f t="shared" si="1"/>
        <v>185714.28571428574</v>
      </c>
      <c r="K13" s="29">
        <f t="shared" si="2"/>
        <v>278571.42857142864</v>
      </c>
    </row>
    <row r="14" spans="1:11" s="1" customFormat="1" ht="34.9" customHeight="1" x14ac:dyDescent="0.3">
      <c r="A14" s="7"/>
      <c r="B14" s="12">
        <v>11</v>
      </c>
      <c r="C14" s="12" t="s">
        <v>7</v>
      </c>
      <c r="D14" s="13" t="s">
        <v>28</v>
      </c>
      <c r="E14" s="14" t="s">
        <v>29</v>
      </c>
      <c r="F14" s="15">
        <v>500000</v>
      </c>
      <c r="G14" s="15">
        <f t="shared" si="3"/>
        <v>536000</v>
      </c>
      <c r="H14" s="16">
        <f t="shared" si="0"/>
        <v>36000</v>
      </c>
      <c r="I14" s="17"/>
      <c r="J14" s="29">
        <f t="shared" si="1"/>
        <v>357142.85714285716</v>
      </c>
      <c r="K14" s="29">
        <f t="shared" si="2"/>
        <v>535714.28571428568</v>
      </c>
    </row>
    <row r="15" spans="1:11" s="1" customFormat="1" ht="34.9" customHeight="1" x14ac:dyDescent="0.3">
      <c r="B15" s="12">
        <v>12</v>
      </c>
      <c r="C15" s="12" t="s">
        <v>15</v>
      </c>
      <c r="D15" s="13" t="s">
        <v>28</v>
      </c>
      <c r="E15" s="14" t="s">
        <v>30</v>
      </c>
      <c r="F15" s="15">
        <v>525000</v>
      </c>
      <c r="G15" s="15">
        <v>525000</v>
      </c>
      <c r="H15" s="16">
        <f t="shared" si="0"/>
        <v>0</v>
      </c>
      <c r="I15" s="17"/>
      <c r="J15" s="29">
        <v>335000</v>
      </c>
      <c r="K15" s="29">
        <f t="shared" si="2"/>
        <v>502500</v>
      </c>
    </row>
    <row r="16" spans="1:11" s="1" customFormat="1" ht="34.9" customHeight="1" x14ac:dyDescent="0.3">
      <c r="A16" s="7"/>
      <c r="B16" s="12">
        <v>13</v>
      </c>
      <c r="C16" s="12" t="s">
        <v>15</v>
      </c>
      <c r="D16" s="13" t="s">
        <v>28</v>
      </c>
      <c r="E16" s="14" t="s">
        <v>31</v>
      </c>
      <c r="F16" s="15">
        <v>110000</v>
      </c>
      <c r="G16" s="15">
        <v>110000</v>
      </c>
      <c r="H16" s="16">
        <f t="shared" si="0"/>
        <v>0</v>
      </c>
      <c r="I16" s="17"/>
      <c r="J16" s="29">
        <f t="shared" si="1"/>
        <v>78571.42857142858</v>
      </c>
      <c r="K16" s="29">
        <f t="shared" si="2"/>
        <v>117857.14285714287</v>
      </c>
    </row>
    <row r="17" spans="1:12" s="1" customFormat="1" ht="34.9" customHeight="1" x14ac:dyDescent="0.3">
      <c r="A17" s="7"/>
      <c r="B17" s="12">
        <v>14</v>
      </c>
      <c r="C17" s="12" t="s">
        <v>7</v>
      </c>
      <c r="D17" s="13" t="s">
        <v>32</v>
      </c>
      <c r="E17" s="14" t="s">
        <v>33</v>
      </c>
      <c r="F17" s="15">
        <v>1248000</v>
      </c>
      <c r="G17" s="15">
        <v>1260000</v>
      </c>
      <c r="H17" s="16">
        <f t="shared" si="0"/>
        <v>12000</v>
      </c>
      <c r="I17" s="22"/>
      <c r="J17" s="29">
        <v>880000</v>
      </c>
      <c r="K17" s="29">
        <f t="shared" si="2"/>
        <v>1320000</v>
      </c>
    </row>
    <row r="18" spans="1:12" customFormat="1" ht="34.9" customHeight="1" x14ac:dyDescent="0.3">
      <c r="B18" s="12">
        <v>15</v>
      </c>
      <c r="C18" s="12" t="s">
        <v>7</v>
      </c>
      <c r="D18" s="13" t="s">
        <v>32</v>
      </c>
      <c r="E18" s="14" t="s">
        <v>34</v>
      </c>
      <c r="F18" s="15">
        <v>1080000</v>
      </c>
      <c r="G18" s="15">
        <v>1100000</v>
      </c>
      <c r="H18" s="16">
        <f t="shared" si="0"/>
        <v>20000</v>
      </c>
      <c r="I18" s="21" t="s">
        <v>22</v>
      </c>
      <c r="J18" s="29">
        <v>880000</v>
      </c>
      <c r="K18" s="29">
        <f t="shared" si="2"/>
        <v>1320000</v>
      </c>
    </row>
    <row r="19" spans="1:12" ht="34.9" customHeight="1" x14ac:dyDescent="0.3">
      <c r="B19" s="12">
        <v>16</v>
      </c>
      <c r="C19" s="12" t="s">
        <v>7</v>
      </c>
      <c r="D19" s="13" t="s">
        <v>35</v>
      </c>
      <c r="E19" s="14" t="s">
        <v>36</v>
      </c>
      <c r="F19" s="15">
        <v>1050000</v>
      </c>
      <c r="G19" s="15">
        <f t="shared" si="3"/>
        <v>1125000</v>
      </c>
      <c r="H19" s="16">
        <f t="shared" si="0"/>
        <v>75000</v>
      </c>
      <c r="I19" s="18" t="s">
        <v>37</v>
      </c>
      <c r="J19" s="29">
        <f t="shared" si="1"/>
        <v>750000</v>
      </c>
      <c r="K19" s="29">
        <f t="shared" si="2"/>
        <v>1125000</v>
      </c>
    </row>
    <row r="20" spans="1:12" s="1" customFormat="1" ht="34.9" customHeight="1" x14ac:dyDescent="0.3">
      <c r="A20" s="7"/>
      <c r="B20" s="12">
        <v>17</v>
      </c>
      <c r="C20" s="12" t="s">
        <v>7</v>
      </c>
      <c r="D20" s="13" t="s">
        <v>35</v>
      </c>
      <c r="E20" s="14" t="s">
        <v>38</v>
      </c>
      <c r="F20" s="15">
        <v>960000</v>
      </c>
      <c r="G20" s="15">
        <f t="shared" si="3"/>
        <v>1029000</v>
      </c>
      <c r="H20" s="16">
        <f t="shared" si="0"/>
        <v>69000</v>
      </c>
      <c r="I20" s="17" t="s">
        <v>37</v>
      </c>
      <c r="J20" s="29">
        <f t="shared" si="1"/>
        <v>685714.2857142858</v>
      </c>
      <c r="K20" s="29">
        <f t="shared" si="2"/>
        <v>1028571.4285714286</v>
      </c>
    </row>
    <row r="21" spans="1:12" ht="34.9" customHeight="1" x14ac:dyDescent="0.3">
      <c r="B21" s="12">
        <v>18</v>
      </c>
      <c r="C21" s="12" t="s">
        <v>7</v>
      </c>
      <c r="D21" s="13" t="s">
        <v>35</v>
      </c>
      <c r="E21" s="14" t="s">
        <v>39</v>
      </c>
      <c r="F21" s="15">
        <v>400000</v>
      </c>
      <c r="G21" s="15">
        <f t="shared" si="3"/>
        <v>429000</v>
      </c>
      <c r="H21" s="16">
        <f t="shared" si="0"/>
        <v>29000</v>
      </c>
      <c r="I21" s="18"/>
      <c r="J21" s="29">
        <f t="shared" si="1"/>
        <v>285714.28571428574</v>
      </c>
      <c r="K21" s="29">
        <f t="shared" si="2"/>
        <v>428571.42857142864</v>
      </c>
    </row>
    <row r="22" spans="1:12" ht="34.9" customHeight="1" x14ac:dyDescent="0.3">
      <c r="B22" s="12">
        <v>19</v>
      </c>
      <c r="C22" s="12" t="s">
        <v>7</v>
      </c>
      <c r="D22" s="13" t="s">
        <v>35</v>
      </c>
      <c r="E22" s="14" t="s">
        <v>40</v>
      </c>
      <c r="F22" s="15">
        <v>940000</v>
      </c>
      <c r="G22" s="15">
        <f t="shared" si="3"/>
        <v>1008000</v>
      </c>
      <c r="H22" s="16">
        <f t="shared" si="0"/>
        <v>68000</v>
      </c>
      <c r="I22" s="18"/>
      <c r="J22" s="29">
        <f t="shared" si="1"/>
        <v>671428.57142857148</v>
      </c>
      <c r="K22" s="29">
        <f t="shared" si="2"/>
        <v>1007142.8571428573</v>
      </c>
    </row>
    <row r="23" spans="1:12" ht="34.9" customHeight="1" x14ac:dyDescent="0.3">
      <c r="B23" s="12">
        <v>20</v>
      </c>
      <c r="C23" s="12" t="s">
        <v>15</v>
      </c>
      <c r="D23" s="13" t="s">
        <v>35</v>
      </c>
      <c r="E23" s="14" t="s">
        <v>41</v>
      </c>
      <c r="F23" s="15">
        <v>120000</v>
      </c>
      <c r="G23" s="15">
        <f t="shared" si="3"/>
        <v>129000</v>
      </c>
      <c r="H23" s="16">
        <f t="shared" si="0"/>
        <v>9000</v>
      </c>
      <c r="I23" s="17"/>
      <c r="J23" s="29">
        <f t="shared" si="1"/>
        <v>85714.285714285725</v>
      </c>
      <c r="K23" s="29">
        <f t="shared" si="2"/>
        <v>128571.42857142858</v>
      </c>
    </row>
    <row r="24" spans="1:12" s="1" customFormat="1" ht="34.9" customHeight="1" x14ac:dyDescent="0.3">
      <c r="A24" s="7"/>
      <c r="B24" s="12">
        <v>21</v>
      </c>
      <c r="C24" s="12" t="s">
        <v>7</v>
      </c>
      <c r="D24" s="13" t="s">
        <v>42</v>
      </c>
      <c r="E24" s="19" t="s">
        <v>43</v>
      </c>
      <c r="F24" s="30">
        <v>1800000</v>
      </c>
      <c r="G24" s="15">
        <f t="shared" si="3"/>
        <v>2130000</v>
      </c>
      <c r="H24" s="16">
        <f t="shared" si="0"/>
        <v>330000</v>
      </c>
      <c r="I24" s="17"/>
      <c r="J24" s="29">
        <v>1420000</v>
      </c>
      <c r="K24" s="29">
        <f t="shared" si="2"/>
        <v>2130000</v>
      </c>
      <c r="L24" s="32">
        <f>F24-J24</f>
        <v>380000</v>
      </c>
    </row>
    <row r="25" spans="1:12" s="1" customFormat="1" ht="34.9" customHeight="1" x14ac:dyDescent="0.3">
      <c r="A25" s="7"/>
      <c r="B25" s="12">
        <v>22</v>
      </c>
      <c r="C25" s="12" t="s">
        <v>7</v>
      </c>
      <c r="D25" s="13" t="s">
        <v>42</v>
      </c>
      <c r="E25" s="19" t="s">
        <v>44</v>
      </c>
      <c r="F25" s="15">
        <v>1200000</v>
      </c>
      <c r="G25" s="15">
        <f t="shared" si="3"/>
        <v>1500000</v>
      </c>
      <c r="H25" s="16">
        <f t="shared" si="0"/>
        <v>300000</v>
      </c>
      <c r="I25" s="17"/>
      <c r="J25" s="29">
        <v>1000000</v>
      </c>
      <c r="K25" s="31">
        <f t="shared" si="2"/>
        <v>1500000</v>
      </c>
    </row>
    <row r="26" spans="1:12" s="1" customFormat="1" ht="30" customHeight="1" thickBot="1" x14ac:dyDescent="0.35">
      <c r="A26" s="7"/>
      <c r="B26" s="23"/>
      <c r="C26" s="23"/>
      <c r="D26" s="24"/>
      <c r="E26" s="25"/>
      <c r="F26" s="26"/>
      <c r="G26" s="26"/>
      <c r="H26" s="26"/>
      <c r="I26" s="27"/>
    </row>
    <row r="27" spans="1:12" ht="24" customHeight="1" x14ac:dyDescent="0.3">
      <c r="B27" s="43" t="s">
        <v>51</v>
      </c>
      <c r="C27" s="44"/>
      <c r="D27" s="44"/>
      <c r="E27" s="44"/>
      <c r="F27" s="44"/>
      <c r="G27" s="44"/>
      <c r="H27" s="44"/>
      <c r="I27" s="45"/>
    </row>
    <row r="28" spans="1:12" ht="24" customHeight="1" x14ac:dyDescent="0.3">
      <c r="B28" s="46"/>
      <c r="C28" s="47"/>
      <c r="D28" s="47"/>
      <c r="E28" s="47"/>
      <c r="F28" s="47"/>
      <c r="G28" s="47"/>
      <c r="H28" s="47"/>
      <c r="I28" s="48"/>
    </row>
    <row r="29" spans="1:12" ht="24" customHeight="1" x14ac:dyDescent="0.3">
      <c r="B29" s="46"/>
      <c r="C29" s="47"/>
      <c r="D29" s="47"/>
      <c r="E29" s="47"/>
      <c r="F29" s="47"/>
      <c r="G29" s="47"/>
      <c r="H29" s="47"/>
      <c r="I29" s="48"/>
    </row>
    <row r="30" spans="1:12" ht="24" customHeight="1" x14ac:dyDescent="0.3">
      <c r="B30" s="46"/>
      <c r="C30" s="47"/>
      <c r="D30" s="47"/>
      <c r="E30" s="47"/>
      <c r="F30" s="47"/>
      <c r="G30" s="47"/>
      <c r="H30" s="47"/>
      <c r="I30" s="48"/>
    </row>
    <row r="31" spans="1:12" ht="24" customHeight="1" x14ac:dyDescent="0.3">
      <c r="B31" s="46"/>
      <c r="C31" s="47"/>
      <c r="D31" s="47"/>
      <c r="E31" s="47"/>
      <c r="F31" s="47"/>
      <c r="G31" s="47"/>
      <c r="H31" s="47"/>
      <c r="I31" s="48"/>
    </row>
    <row r="32" spans="1:12" ht="24" customHeight="1" x14ac:dyDescent="0.3">
      <c r="B32" s="46"/>
      <c r="C32" s="47"/>
      <c r="D32" s="47"/>
      <c r="E32" s="47"/>
      <c r="F32" s="47"/>
      <c r="G32" s="47"/>
      <c r="H32" s="47"/>
      <c r="I32" s="48"/>
    </row>
    <row r="33" spans="2:9" ht="24" customHeight="1" x14ac:dyDescent="0.3">
      <c r="B33" s="46"/>
      <c r="C33" s="47"/>
      <c r="D33" s="47"/>
      <c r="E33" s="47"/>
      <c r="F33" s="47"/>
      <c r="G33" s="47"/>
      <c r="H33" s="47"/>
      <c r="I33" s="48"/>
    </row>
    <row r="34" spans="2:9" ht="24" customHeight="1" thickBot="1" x14ac:dyDescent="0.35">
      <c r="B34" s="49"/>
      <c r="C34" s="50"/>
      <c r="D34" s="50"/>
      <c r="E34" s="50"/>
      <c r="F34" s="50"/>
      <c r="G34" s="50"/>
      <c r="H34" s="50"/>
      <c r="I34" s="51"/>
    </row>
    <row r="35" spans="2:9" ht="24" customHeight="1" x14ac:dyDescent="0.3"/>
    <row r="36" spans="2:9" ht="24" customHeight="1" x14ac:dyDescent="0.3"/>
    <row r="37" spans="2:9" ht="24" customHeight="1" x14ac:dyDescent="0.3"/>
    <row r="38" spans="2:9" ht="24" customHeight="1" x14ac:dyDescent="0.3"/>
    <row r="39" spans="2:9" ht="24" customHeight="1" x14ac:dyDescent="0.3"/>
    <row r="40" spans="2:9" ht="24" customHeight="1" x14ac:dyDescent="0.3"/>
    <row r="41" spans="2:9" ht="24" customHeight="1" x14ac:dyDescent="0.3"/>
    <row r="42" spans="2:9" ht="24" customHeight="1" x14ac:dyDescent="0.3"/>
    <row r="43" spans="2:9" ht="24" customHeight="1" x14ac:dyDescent="0.3"/>
    <row r="44" spans="2:9" ht="24" customHeight="1" x14ac:dyDescent="0.3"/>
    <row r="45" spans="2:9" ht="24" customHeight="1" x14ac:dyDescent="0.3"/>
    <row r="46" spans="2:9" ht="24" customHeight="1" x14ac:dyDescent="0.3"/>
    <row r="47" spans="2:9" ht="24" customHeight="1" x14ac:dyDescent="0.3"/>
    <row r="48" spans="2:9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</sheetData>
  <mergeCells count="2">
    <mergeCell ref="B1:I1"/>
    <mergeCell ref="B27:I3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A02A-1B1F-4682-860D-5B6ED73C5882}">
  <sheetPr>
    <tabColor rgb="FFFFFF00"/>
    <pageSetUpPr fitToPage="1"/>
  </sheetPr>
  <dimension ref="A1:G147"/>
  <sheetViews>
    <sheetView zoomScale="70" zoomScaleNormal="70" workbookViewId="0">
      <selection activeCell="H4" sqref="H4"/>
    </sheetView>
  </sheetViews>
  <sheetFormatPr defaultColWidth="8.625" defaultRowHeight="13.5" x14ac:dyDescent="0.3"/>
  <cols>
    <col min="1" max="1" width="1.375" style="7" customWidth="1"/>
    <col min="2" max="3" width="8.75" style="7" customWidth="1"/>
    <col min="4" max="4" width="25.75" style="7" customWidth="1"/>
    <col min="5" max="5" width="46.375" style="8" bestFit="1" customWidth="1"/>
    <col min="6" max="6" width="15.75" style="7" customWidth="1"/>
    <col min="7" max="7" width="17.75" style="9" bestFit="1" customWidth="1"/>
    <col min="8" max="8" width="14.125" style="7" customWidth="1"/>
    <col min="9" max="16384" width="8.625" style="7"/>
  </cols>
  <sheetData>
    <row r="1" spans="1:7" s="1" customFormat="1" ht="49.9" customHeight="1" x14ac:dyDescent="0.3">
      <c r="B1" s="33" t="s">
        <v>48</v>
      </c>
      <c r="C1" s="33"/>
      <c r="D1" s="33"/>
      <c r="E1" s="33"/>
      <c r="F1" s="33"/>
      <c r="G1" s="33"/>
    </row>
    <row r="2" spans="1:7" s="1" customFormat="1" ht="32.450000000000003" customHeight="1" x14ac:dyDescent="0.3">
      <c r="B2" s="2" t="s">
        <v>49</v>
      </c>
      <c r="C2" s="3"/>
      <c r="D2" s="4"/>
      <c r="E2" s="5"/>
      <c r="G2" s="6"/>
    </row>
    <row r="3" spans="1:7" s="1" customFormat="1" ht="34.9" customHeight="1" x14ac:dyDescent="0.3">
      <c r="B3" s="10" t="s">
        <v>1</v>
      </c>
      <c r="C3" s="10" t="s">
        <v>2</v>
      </c>
      <c r="D3" s="10" t="s">
        <v>3</v>
      </c>
      <c r="E3" s="10" t="s">
        <v>4</v>
      </c>
      <c r="F3" s="28" t="s">
        <v>47</v>
      </c>
      <c r="G3" s="10" t="s">
        <v>6</v>
      </c>
    </row>
    <row r="4" spans="1:7" ht="34.9" customHeight="1" x14ac:dyDescent="0.3">
      <c r="B4" s="12">
        <v>1</v>
      </c>
      <c r="C4" s="12" t="s">
        <v>7</v>
      </c>
      <c r="D4" s="13" t="s">
        <v>8</v>
      </c>
      <c r="E4" s="14" t="s">
        <v>9</v>
      </c>
      <c r="F4" s="15">
        <v>130000</v>
      </c>
      <c r="G4" s="17"/>
    </row>
    <row r="5" spans="1:7" ht="34.9" customHeight="1" x14ac:dyDescent="0.3">
      <c r="B5" s="12">
        <v>2</v>
      </c>
      <c r="C5" s="12" t="s">
        <v>7</v>
      </c>
      <c r="D5" s="13" t="s">
        <v>10</v>
      </c>
      <c r="E5" s="14" t="s">
        <v>11</v>
      </c>
      <c r="F5" s="15">
        <v>185000</v>
      </c>
      <c r="G5" s="17"/>
    </row>
    <row r="6" spans="1:7" ht="34.9" customHeight="1" x14ac:dyDescent="0.3">
      <c r="B6" s="12">
        <v>3</v>
      </c>
      <c r="C6" s="12" t="s">
        <v>12</v>
      </c>
      <c r="D6" s="13" t="s">
        <v>13</v>
      </c>
      <c r="E6" s="14" t="s">
        <v>14</v>
      </c>
      <c r="F6" s="15">
        <v>385000</v>
      </c>
      <c r="G6" s="18"/>
    </row>
    <row r="7" spans="1:7" s="1" customFormat="1" ht="34.9" customHeight="1" x14ac:dyDescent="0.3">
      <c r="A7" s="7"/>
      <c r="B7" s="12">
        <v>4</v>
      </c>
      <c r="C7" s="12" t="s">
        <v>15</v>
      </c>
      <c r="D7" s="13" t="s">
        <v>16</v>
      </c>
      <c r="E7" s="14" t="s">
        <v>17</v>
      </c>
      <c r="F7" s="15">
        <v>120000</v>
      </c>
      <c r="G7" s="17"/>
    </row>
    <row r="8" spans="1:7" ht="34.9" customHeight="1" x14ac:dyDescent="0.3">
      <c r="B8" s="12">
        <v>5</v>
      </c>
      <c r="C8" s="12" t="s">
        <v>7</v>
      </c>
      <c r="D8" s="13" t="s">
        <v>18</v>
      </c>
      <c r="E8" s="19" t="s">
        <v>19</v>
      </c>
      <c r="F8" s="15">
        <v>500000</v>
      </c>
      <c r="G8" s="20"/>
    </row>
    <row r="9" spans="1:7" ht="34.9" customHeight="1" x14ac:dyDescent="0.3">
      <c r="B9" s="12">
        <v>6</v>
      </c>
      <c r="C9" s="12" t="s">
        <v>7</v>
      </c>
      <c r="D9" s="13" t="s">
        <v>18</v>
      </c>
      <c r="E9" s="19" t="s">
        <v>20</v>
      </c>
      <c r="F9" s="15">
        <v>500000</v>
      </c>
      <c r="G9" s="20"/>
    </row>
    <row r="10" spans="1:7" customFormat="1" ht="34.9" customHeight="1" x14ac:dyDescent="0.3">
      <c r="B10" s="12">
        <v>7</v>
      </c>
      <c r="C10" s="12" t="s">
        <v>12</v>
      </c>
      <c r="D10" s="13" t="s">
        <v>24</v>
      </c>
      <c r="E10" s="14" t="s">
        <v>25</v>
      </c>
      <c r="F10" s="15">
        <v>94000</v>
      </c>
      <c r="G10" s="17"/>
    </row>
    <row r="11" spans="1:7" ht="34.9" customHeight="1" x14ac:dyDescent="0.3">
      <c r="B11" s="12">
        <v>8</v>
      </c>
      <c r="C11" s="12" t="s">
        <v>7</v>
      </c>
      <c r="D11" s="13" t="s">
        <v>26</v>
      </c>
      <c r="E11" s="14" t="s">
        <v>27</v>
      </c>
      <c r="F11" s="15">
        <v>260000</v>
      </c>
      <c r="G11" s="17"/>
    </row>
    <row r="12" spans="1:7" s="1" customFormat="1" ht="34.9" customHeight="1" x14ac:dyDescent="0.3">
      <c r="A12" s="7"/>
      <c r="B12" s="12">
        <v>9</v>
      </c>
      <c r="C12" s="12" t="s">
        <v>7</v>
      </c>
      <c r="D12" s="13" t="s">
        <v>28</v>
      </c>
      <c r="E12" s="14" t="s">
        <v>29</v>
      </c>
      <c r="F12" s="15">
        <v>500000</v>
      </c>
      <c r="G12" s="17"/>
    </row>
    <row r="13" spans="1:7" s="1" customFormat="1" ht="34.9" customHeight="1" x14ac:dyDescent="0.3">
      <c r="B13" s="12">
        <v>10</v>
      </c>
      <c r="C13" s="12" t="s">
        <v>15</v>
      </c>
      <c r="D13" s="13" t="s">
        <v>28</v>
      </c>
      <c r="E13" s="14" t="s">
        <v>30</v>
      </c>
      <c r="F13" s="15">
        <v>525000</v>
      </c>
      <c r="G13" s="17"/>
    </row>
    <row r="14" spans="1:7" s="1" customFormat="1" ht="34.9" customHeight="1" x14ac:dyDescent="0.3">
      <c r="A14" s="7"/>
      <c r="B14" s="12">
        <v>11</v>
      </c>
      <c r="C14" s="12" t="s">
        <v>15</v>
      </c>
      <c r="D14" s="13" t="s">
        <v>28</v>
      </c>
      <c r="E14" s="14" t="s">
        <v>31</v>
      </c>
      <c r="F14" s="15">
        <v>110000</v>
      </c>
      <c r="G14" s="17"/>
    </row>
    <row r="15" spans="1:7" s="1" customFormat="1" ht="34.9" customHeight="1" x14ac:dyDescent="0.3">
      <c r="A15" s="7"/>
      <c r="B15" s="12">
        <v>12</v>
      </c>
      <c r="C15" s="12" t="s">
        <v>7</v>
      </c>
      <c r="D15" s="13" t="s">
        <v>32</v>
      </c>
      <c r="E15" s="14" t="s">
        <v>33</v>
      </c>
      <c r="F15" s="15">
        <v>1248000</v>
      </c>
      <c r="G15" s="22"/>
    </row>
    <row r="16" spans="1:7" customFormat="1" ht="34.9" customHeight="1" x14ac:dyDescent="0.3">
      <c r="B16" s="12">
        <v>13</v>
      </c>
      <c r="C16" s="12" t="s">
        <v>7</v>
      </c>
      <c r="D16" s="13" t="s">
        <v>32</v>
      </c>
      <c r="E16" s="14" t="s">
        <v>50</v>
      </c>
      <c r="F16" s="15">
        <v>0</v>
      </c>
      <c r="G16" s="21"/>
    </row>
    <row r="17" spans="1:7" ht="34.9" customHeight="1" x14ac:dyDescent="0.3">
      <c r="B17" s="12">
        <v>14</v>
      </c>
      <c r="C17" s="12" t="s">
        <v>7</v>
      </c>
      <c r="D17" s="13" t="s">
        <v>35</v>
      </c>
      <c r="E17" s="14" t="s">
        <v>36</v>
      </c>
      <c r="F17" s="15">
        <v>1050000</v>
      </c>
      <c r="G17" s="18"/>
    </row>
    <row r="18" spans="1:7" s="1" customFormat="1" ht="34.9" customHeight="1" x14ac:dyDescent="0.3">
      <c r="A18" s="7"/>
      <c r="B18" s="12">
        <v>15</v>
      </c>
      <c r="C18" s="12" t="s">
        <v>7</v>
      </c>
      <c r="D18" s="13" t="s">
        <v>35</v>
      </c>
      <c r="E18" s="14" t="s">
        <v>38</v>
      </c>
      <c r="F18" s="15">
        <v>960000</v>
      </c>
      <c r="G18" s="17"/>
    </row>
    <row r="19" spans="1:7" ht="34.9" customHeight="1" x14ac:dyDescent="0.3">
      <c r="B19" s="12">
        <v>16</v>
      </c>
      <c r="C19" s="12" t="s">
        <v>7</v>
      </c>
      <c r="D19" s="13" t="s">
        <v>35</v>
      </c>
      <c r="E19" s="14" t="s">
        <v>39</v>
      </c>
      <c r="F19" s="15">
        <v>400000</v>
      </c>
      <c r="G19" s="18"/>
    </row>
    <row r="20" spans="1:7" ht="34.9" customHeight="1" x14ac:dyDescent="0.3">
      <c r="B20" s="12">
        <v>17</v>
      </c>
      <c r="C20" s="12" t="s">
        <v>7</v>
      </c>
      <c r="D20" s="13" t="s">
        <v>35</v>
      </c>
      <c r="E20" s="14" t="s">
        <v>40</v>
      </c>
      <c r="F20" s="15">
        <v>940000</v>
      </c>
      <c r="G20" s="18"/>
    </row>
    <row r="21" spans="1:7" ht="34.9" customHeight="1" x14ac:dyDescent="0.3">
      <c r="B21" s="12">
        <v>18</v>
      </c>
      <c r="C21" s="12" t="s">
        <v>15</v>
      </c>
      <c r="D21" s="13" t="s">
        <v>35</v>
      </c>
      <c r="E21" s="14" t="s">
        <v>41</v>
      </c>
      <c r="F21" s="15">
        <v>120000</v>
      </c>
      <c r="G21" s="17"/>
    </row>
    <row r="22" spans="1:7" s="1" customFormat="1" ht="34.9" customHeight="1" x14ac:dyDescent="0.3">
      <c r="A22" s="7"/>
      <c r="B22" s="12">
        <v>19</v>
      </c>
      <c r="C22" s="12" t="s">
        <v>7</v>
      </c>
      <c r="D22" s="13" t="s">
        <v>42</v>
      </c>
      <c r="E22" s="19" t="s">
        <v>43</v>
      </c>
      <c r="F22" s="15">
        <v>1800000</v>
      </c>
      <c r="G22" s="17"/>
    </row>
    <row r="23" spans="1:7" s="1" customFormat="1" ht="34.9" customHeight="1" x14ac:dyDescent="0.3">
      <c r="A23" s="7"/>
      <c r="B23" s="12">
        <v>20</v>
      </c>
      <c r="C23" s="12" t="s">
        <v>7</v>
      </c>
      <c r="D23" s="13" t="s">
        <v>42</v>
      </c>
      <c r="E23" s="19" t="s">
        <v>44</v>
      </c>
      <c r="F23" s="15">
        <v>1200000</v>
      </c>
      <c r="G23" s="17"/>
    </row>
    <row r="24" spans="1:7" s="1" customFormat="1" ht="30" customHeight="1" thickBot="1" x14ac:dyDescent="0.35">
      <c r="A24" s="7"/>
      <c r="B24" s="23"/>
      <c r="C24" s="23"/>
      <c r="D24" s="24"/>
      <c r="E24" s="25"/>
      <c r="F24" s="26"/>
      <c r="G24" s="27"/>
    </row>
    <row r="25" spans="1:7" ht="24" customHeight="1" x14ac:dyDescent="0.3">
      <c r="B25" s="43" t="s">
        <v>52</v>
      </c>
      <c r="C25" s="44"/>
      <c r="D25" s="44"/>
      <c r="E25" s="44"/>
      <c r="F25" s="44"/>
      <c r="G25" s="45"/>
    </row>
    <row r="26" spans="1:7" ht="24" customHeight="1" x14ac:dyDescent="0.3">
      <c r="B26" s="46"/>
      <c r="C26" s="47"/>
      <c r="D26" s="47"/>
      <c r="E26" s="47"/>
      <c r="F26" s="47"/>
      <c r="G26" s="48"/>
    </row>
    <row r="27" spans="1:7" ht="24" customHeight="1" x14ac:dyDescent="0.3">
      <c r="B27" s="46"/>
      <c r="C27" s="47"/>
      <c r="D27" s="47"/>
      <c r="E27" s="47"/>
      <c r="F27" s="47"/>
      <c r="G27" s="48"/>
    </row>
    <row r="28" spans="1:7" ht="24" customHeight="1" x14ac:dyDescent="0.3">
      <c r="B28" s="46"/>
      <c r="C28" s="47"/>
      <c r="D28" s="47"/>
      <c r="E28" s="47"/>
      <c r="F28" s="47"/>
      <c r="G28" s="48"/>
    </row>
    <row r="29" spans="1:7" ht="24" customHeight="1" x14ac:dyDescent="0.3">
      <c r="B29" s="46"/>
      <c r="C29" s="47"/>
      <c r="D29" s="47"/>
      <c r="E29" s="47"/>
      <c r="F29" s="47"/>
      <c r="G29" s="48"/>
    </row>
    <row r="30" spans="1:7" ht="24" customHeight="1" x14ac:dyDescent="0.3">
      <c r="B30" s="46"/>
      <c r="C30" s="47"/>
      <c r="D30" s="47"/>
      <c r="E30" s="47"/>
      <c r="F30" s="47"/>
      <c r="G30" s="48"/>
    </row>
    <row r="31" spans="1:7" ht="24" customHeight="1" x14ac:dyDescent="0.3">
      <c r="B31" s="46"/>
      <c r="C31" s="47"/>
      <c r="D31" s="47"/>
      <c r="E31" s="47"/>
      <c r="F31" s="47"/>
      <c r="G31" s="48"/>
    </row>
    <row r="32" spans="1:7" ht="24" customHeight="1" thickBot="1" x14ac:dyDescent="0.35">
      <c r="B32" s="49"/>
      <c r="C32" s="50"/>
      <c r="D32" s="50"/>
      <c r="E32" s="50"/>
      <c r="F32" s="50"/>
      <c r="G32" s="51"/>
    </row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</sheetData>
  <mergeCells count="2">
    <mergeCell ref="B1:G1"/>
    <mergeCell ref="B25:G3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2726-0035-4E86-B74C-6C6C84DEDDD0}">
  <sheetPr>
    <tabColor rgb="FFFFFF00"/>
    <pageSetUpPr fitToPage="1"/>
  </sheetPr>
  <dimension ref="A1:H147"/>
  <sheetViews>
    <sheetView tabSelected="1" zoomScale="70" zoomScaleNormal="70" workbookViewId="0">
      <selection activeCell="K5" sqref="K5"/>
    </sheetView>
  </sheetViews>
  <sheetFormatPr defaultColWidth="8.625" defaultRowHeight="13.5" x14ac:dyDescent="0.3"/>
  <cols>
    <col min="1" max="1" width="1.375" style="7" customWidth="1"/>
    <col min="2" max="3" width="8.75" style="7" customWidth="1"/>
    <col min="4" max="4" width="25.75" style="7" customWidth="1"/>
    <col min="5" max="5" width="46.375" style="8" bestFit="1" customWidth="1"/>
    <col min="6" max="6" width="15.75" style="7" customWidth="1"/>
    <col min="7" max="7" width="17.75" style="9" bestFit="1" customWidth="1"/>
    <col min="8" max="8" width="15.75" style="7" customWidth="1"/>
    <col min="9" max="16384" width="8.625" style="7"/>
  </cols>
  <sheetData>
    <row r="1" spans="1:8" s="1" customFormat="1" ht="49.9" customHeight="1" x14ac:dyDescent="0.3">
      <c r="B1" s="33" t="s">
        <v>57</v>
      </c>
      <c r="C1" s="33"/>
      <c r="D1" s="33"/>
      <c r="E1" s="33"/>
      <c r="F1" s="33"/>
      <c r="G1" s="33"/>
    </row>
    <row r="2" spans="1:8" s="1" customFormat="1" ht="32.450000000000003" customHeight="1" x14ac:dyDescent="0.3">
      <c r="B2" s="2" t="s">
        <v>58</v>
      </c>
      <c r="C2" s="3"/>
      <c r="D2" s="4"/>
      <c r="E2" s="5"/>
      <c r="G2" s="6"/>
    </row>
    <row r="3" spans="1:8" s="1" customFormat="1" ht="34.9" customHeight="1" x14ac:dyDescent="0.3">
      <c r="B3" s="10" t="s">
        <v>1</v>
      </c>
      <c r="C3" s="10" t="s">
        <v>2</v>
      </c>
      <c r="D3" s="10" t="s">
        <v>3</v>
      </c>
      <c r="E3" s="10" t="s">
        <v>4</v>
      </c>
      <c r="F3" s="28" t="s">
        <v>60</v>
      </c>
      <c r="G3" s="10" t="s">
        <v>6</v>
      </c>
      <c r="H3" s="11" t="s">
        <v>55</v>
      </c>
    </row>
    <row r="4" spans="1:8" ht="34.9" customHeight="1" x14ac:dyDescent="0.3">
      <c r="B4" s="12">
        <v>1</v>
      </c>
      <c r="C4" s="12" t="s">
        <v>7</v>
      </c>
      <c r="D4" s="13" t="s">
        <v>8</v>
      </c>
      <c r="E4" s="14" t="s">
        <v>9</v>
      </c>
      <c r="F4" s="15">
        <v>130000</v>
      </c>
      <c r="G4" s="17"/>
      <c r="H4" s="15">
        <v>130000</v>
      </c>
    </row>
    <row r="5" spans="1:8" ht="34.9" customHeight="1" x14ac:dyDescent="0.3">
      <c r="B5" s="12">
        <v>2</v>
      </c>
      <c r="C5" s="12" t="s">
        <v>7</v>
      </c>
      <c r="D5" s="13" t="s">
        <v>10</v>
      </c>
      <c r="E5" s="14" t="s">
        <v>11</v>
      </c>
      <c r="F5" s="15">
        <v>185000</v>
      </c>
      <c r="G5" s="17"/>
      <c r="H5" s="15">
        <v>190000</v>
      </c>
    </row>
    <row r="6" spans="1:8" ht="34.9" customHeight="1" x14ac:dyDescent="0.3">
      <c r="B6" s="12">
        <v>3</v>
      </c>
      <c r="C6" s="12" t="s">
        <v>12</v>
      </c>
      <c r="D6" s="13" t="s">
        <v>13</v>
      </c>
      <c r="E6" s="14" t="s">
        <v>14</v>
      </c>
      <c r="F6" s="15">
        <v>385000</v>
      </c>
      <c r="G6" s="18"/>
      <c r="H6" s="15">
        <v>400000</v>
      </c>
    </row>
    <row r="7" spans="1:8" s="1" customFormat="1" ht="34.9" customHeight="1" x14ac:dyDescent="0.3">
      <c r="A7" s="7"/>
      <c r="B7" s="12">
        <v>4</v>
      </c>
      <c r="C7" s="12" t="s">
        <v>15</v>
      </c>
      <c r="D7" s="13" t="s">
        <v>16</v>
      </c>
      <c r="E7" s="14" t="s">
        <v>17</v>
      </c>
      <c r="F7" s="15">
        <v>120000</v>
      </c>
      <c r="G7" s="17"/>
      <c r="H7" s="15">
        <v>130000</v>
      </c>
    </row>
    <row r="8" spans="1:8" ht="34.9" customHeight="1" x14ac:dyDescent="0.3">
      <c r="B8" s="12">
        <v>5</v>
      </c>
      <c r="C8" s="12" t="s">
        <v>7</v>
      </c>
      <c r="D8" s="13" t="s">
        <v>18</v>
      </c>
      <c r="E8" s="19" t="s">
        <v>19</v>
      </c>
      <c r="F8" s="15">
        <v>500000</v>
      </c>
      <c r="G8" s="20"/>
      <c r="H8" s="15">
        <v>500000</v>
      </c>
    </row>
    <row r="9" spans="1:8" ht="34.9" customHeight="1" x14ac:dyDescent="0.3">
      <c r="B9" s="12">
        <v>6</v>
      </c>
      <c r="C9" s="12" t="s">
        <v>7</v>
      </c>
      <c r="D9" s="13" t="s">
        <v>18</v>
      </c>
      <c r="E9" s="19" t="s">
        <v>20</v>
      </c>
      <c r="F9" s="15">
        <v>500000</v>
      </c>
      <c r="G9" s="20"/>
      <c r="H9" s="15">
        <v>500000</v>
      </c>
    </row>
    <row r="10" spans="1:8" customFormat="1" ht="34.9" customHeight="1" x14ac:dyDescent="0.3">
      <c r="B10" s="12">
        <v>7</v>
      </c>
      <c r="C10" s="12" t="s">
        <v>12</v>
      </c>
      <c r="D10" s="13" t="s">
        <v>24</v>
      </c>
      <c r="E10" s="14" t="s">
        <v>25</v>
      </c>
      <c r="F10" s="15">
        <v>94000</v>
      </c>
      <c r="G10" s="21" t="s">
        <v>22</v>
      </c>
      <c r="H10" s="15">
        <v>100000</v>
      </c>
    </row>
    <row r="11" spans="1:8" ht="34.9" customHeight="1" x14ac:dyDescent="0.3">
      <c r="B11" s="12">
        <v>8</v>
      </c>
      <c r="C11" s="12" t="s">
        <v>7</v>
      </c>
      <c r="D11" s="13" t="s">
        <v>26</v>
      </c>
      <c r="E11" s="14" t="s">
        <v>27</v>
      </c>
      <c r="F11" s="15">
        <v>260000</v>
      </c>
      <c r="G11" s="21" t="s">
        <v>22</v>
      </c>
      <c r="H11" s="15">
        <v>270000</v>
      </c>
    </row>
    <row r="12" spans="1:8" s="1" customFormat="1" ht="34.9" customHeight="1" x14ac:dyDescent="0.3">
      <c r="A12" s="7"/>
      <c r="B12" s="12">
        <v>9</v>
      </c>
      <c r="C12" s="12" t="s">
        <v>7</v>
      </c>
      <c r="D12" s="13" t="s">
        <v>28</v>
      </c>
      <c r="E12" s="14" t="s">
        <v>29</v>
      </c>
      <c r="F12" s="15">
        <v>500000</v>
      </c>
      <c r="G12" s="17"/>
      <c r="H12" s="15">
        <v>536000</v>
      </c>
    </row>
    <row r="13" spans="1:8" s="1" customFormat="1" ht="34.9" customHeight="1" x14ac:dyDescent="0.3">
      <c r="B13" s="12">
        <v>10</v>
      </c>
      <c r="C13" s="12" t="s">
        <v>15</v>
      </c>
      <c r="D13" s="13" t="s">
        <v>28</v>
      </c>
      <c r="E13" s="14" t="s">
        <v>30</v>
      </c>
      <c r="F13" s="15">
        <v>525000</v>
      </c>
      <c r="G13" s="17"/>
      <c r="H13" s="15">
        <v>525000</v>
      </c>
    </row>
    <row r="14" spans="1:8" s="1" customFormat="1" ht="34.9" customHeight="1" x14ac:dyDescent="0.3">
      <c r="A14" s="7"/>
      <c r="B14" s="12">
        <v>11</v>
      </c>
      <c r="C14" s="12" t="s">
        <v>15</v>
      </c>
      <c r="D14" s="13" t="s">
        <v>28</v>
      </c>
      <c r="E14" s="14" t="s">
        <v>31</v>
      </c>
      <c r="F14" s="15">
        <v>110000</v>
      </c>
      <c r="G14" s="17"/>
      <c r="H14" s="15">
        <v>110000</v>
      </c>
    </row>
    <row r="15" spans="1:8" s="1" customFormat="1" ht="34.9" customHeight="1" x14ac:dyDescent="0.3">
      <c r="A15" s="7"/>
      <c r="B15" s="12">
        <v>12</v>
      </c>
      <c r="C15" s="12" t="s">
        <v>7</v>
      </c>
      <c r="D15" s="13" t="s">
        <v>32</v>
      </c>
      <c r="E15" s="14" t="s">
        <v>33</v>
      </c>
      <c r="F15" s="15">
        <v>1248000</v>
      </c>
      <c r="G15" s="17"/>
      <c r="H15" s="15">
        <v>1260000</v>
      </c>
    </row>
    <row r="16" spans="1:8" customFormat="1" ht="34.9" customHeight="1" x14ac:dyDescent="0.3">
      <c r="B16" s="12">
        <v>13</v>
      </c>
      <c r="C16" s="12" t="s">
        <v>7</v>
      </c>
      <c r="D16" s="13" t="s">
        <v>32</v>
      </c>
      <c r="E16" s="14" t="s">
        <v>50</v>
      </c>
      <c r="F16" s="15">
        <v>0</v>
      </c>
      <c r="G16" s="17"/>
      <c r="H16" s="15" t="s">
        <v>56</v>
      </c>
    </row>
    <row r="17" spans="1:8" ht="34.9" customHeight="1" x14ac:dyDescent="0.3">
      <c r="B17" s="12">
        <v>14</v>
      </c>
      <c r="C17" s="12" t="s">
        <v>7</v>
      </c>
      <c r="D17" s="13" t="s">
        <v>35</v>
      </c>
      <c r="E17" s="14" t="s">
        <v>36</v>
      </c>
      <c r="F17" s="15">
        <v>1050000</v>
      </c>
      <c r="G17" s="22"/>
      <c r="H17" s="15">
        <v>1125000</v>
      </c>
    </row>
    <row r="18" spans="1:8" s="1" customFormat="1" ht="34.9" customHeight="1" x14ac:dyDescent="0.3">
      <c r="A18" s="7"/>
      <c r="B18" s="12">
        <v>15</v>
      </c>
      <c r="C18" s="12" t="s">
        <v>7</v>
      </c>
      <c r="D18" s="13" t="s">
        <v>35</v>
      </c>
      <c r="E18" s="14" t="s">
        <v>38</v>
      </c>
      <c r="F18" s="15">
        <v>960000</v>
      </c>
      <c r="G18" s="21" t="s">
        <v>22</v>
      </c>
      <c r="H18" s="15">
        <v>1029000</v>
      </c>
    </row>
    <row r="19" spans="1:8" ht="34.9" customHeight="1" x14ac:dyDescent="0.3">
      <c r="B19" s="12">
        <v>16</v>
      </c>
      <c r="C19" s="12" t="s">
        <v>7</v>
      </c>
      <c r="D19" s="13" t="s">
        <v>35</v>
      </c>
      <c r="E19" s="14" t="s">
        <v>39</v>
      </c>
      <c r="F19" s="15">
        <v>400000</v>
      </c>
      <c r="G19" s="18" t="s">
        <v>37</v>
      </c>
      <c r="H19" s="15">
        <v>429000</v>
      </c>
    </row>
    <row r="20" spans="1:8" ht="34.9" customHeight="1" x14ac:dyDescent="0.3">
      <c r="B20" s="12">
        <v>17</v>
      </c>
      <c r="C20" s="12" t="s">
        <v>7</v>
      </c>
      <c r="D20" s="13" t="s">
        <v>35</v>
      </c>
      <c r="E20" s="14" t="s">
        <v>40</v>
      </c>
      <c r="F20" s="15">
        <v>940000</v>
      </c>
      <c r="G20" s="17" t="s">
        <v>37</v>
      </c>
      <c r="H20" s="15">
        <v>1000000</v>
      </c>
    </row>
    <row r="21" spans="1:8" ht="34.9" customHeight="1" x14ac:dyDescent="0.3">
      <c r="B21" s="12">
        <v>18</v>
      </c>
      <c r="C21" s="12" t="s">
        <v>15</v>
      </c>
      <c r="D21" s="13" t="s">
        <v>35</v>
      </c>
      <c r="E21" s="14" t="s">
        <v>41</v>
      </c>
      <c r="F21" s="15">
        <v>120000</v>
      </c>
      <c r="G21" s="18"/>
      <c r="H21" s="15">
        <v>129000</v>
      </c>
    </row>
    <row r="22" spans="1:8" s="1" customFormat="1" ht="34.9" customHeight="1" x14ac:dyDescent="0.3">
      <c r="A22" s="7"/>
      <c r="B22" s="12">
        <v>19</v>
      </c>
      <c r="C22" s="12" t="s">
        <v>7</v>
      </c>
      <c r="D22" s="13" t="s">
        <v>42</v>
      </c>
      <c r="E22" s="19" t="s">
        <v>43</v>
      </c>
      <c r="F22" s="15">
        <v>1800000</v>
      </c>
      <c r="G22" s="18"/>
      <c r="H22" s="15">
        <v>1800000</v>
      </c>
    </row>
    <row r="23" spans="1:8" s="1" customFormat="1" ht="34.9" customHeight="1" x14ac:dyDescent="0.3">
      <c r="A23" s="7"/>
      <c r="B23" s="12">
        <v>20</v>
      </c>
      <c r="C23" s="12" t="s">
        <v>7</v>
      </c>
      <c r="D23" s="13" t="s">
        <v>42</v>
      </c>
      <c r="E23" s="19" t="s">
        <v>44</v>
      </c>
      <c r="F23" s="15">
        <v>1200000</v>
      </c>
      <c r="G23" s="17"/>
      <c r="H23" s="15">
        <v>1500000</v>
      </c>
    </row>
    <row r="24" spans="1:8" s="1" customFormat="1" ht="30" customHeight="1" thickBot="1" x14ac:dyDescent="0.35">
      <c r="A24" s="7"/>
      <c r="B24" s="23"/>
      <c r="C24" s="23"/>
      <c r="D24" s="24"/>
      <c r="E24" s="25"/>
      <c r="F24" s="26"/>
      <c r="G24" s="17"/>
    </row>
    <row r="25" spans="1:8" ht="16.5" customHeight="1" x14ac:dyDescent="0.3">
      <c r="B25" s="34" t="s">
        <v>59</v>
      </c>
      <c r="C25" s="35"/>
      <c r="D25" s="35"/>
      <c r="E25" s="35"/>
      <c r="F25" s="35"/>
      <c r="G25" s="36"/>
    </row>
    <row r="26" spans="1:8" ht="16.5" customHeight="1" x14ac:dyDescent="0.3">
      <c r="B26" s="37"/>
      <c r="C26" s="38"/>
      <c r="D26" s="38"/>
      <c r="E26" s="38"/>
      <c r="F26" s="38"/>
      <c r="G26" s="39"/>
      <c r="H26" s="26"/>
    </row>
    <row r="27" spans="1:8" ht="16.5" customHeight="1" x14ac:dyDescent="0.3">
      <c r="B27" s="37"/>
      <c r="C27" s="38"/>
      <c r="D27" s="38"/>
      <c r="E27" s="38"/>
      <c r="F27" s="38"/>
      <c r="G27" s="39"/>
    </row>
    <row r="28" spans="1:8" ht="16.5" customHeight="1" x14ac:dyDescent="0.3">
      <c r="B28" s="37"/>
      <c r="C28" s="38"/>
      <c r="D28" s="38"/>
      <c r="E28" s="38"/>
      <c r="F28" s="38"/>
      <c r="G28" s="39"/>
    </row>
    <row r="29" spans="1:8" ht="16.5" customHeight="1" x14ac:dyDescent="0.3">
      <c r="B29" s="37"/>
      <c r="C29" s="38"/>
      <c r="D29" s="38"/>
      <c r="E29" s="38"/>
      <c r="F29" s="38"/>
      <c r="G29" s="39"/>
    </row>
    <row r="30" spans="1:8" ht="16.5" customHeight="1" x14ac:dyDescent="0.3">
      <c r="B30" s="37"/>
      <c r="C30" s="38"/>
      <c r="D30" s="38"/>
      <c r="E30" s="38"/>
      <c r="F30" s="38"/>
      <c r="G30" s="39"/>
    </row>
    <row r="31" spans="1:8" ht="16.5" customHeight="1" x14ac:dyDescent="0.3">
      <c r="B31" s="37"/>
      <c r="C31" s="38"/>
      <c r="D31" s="38"/>
      <c r="E31" s="38"/>
      <c r="F31" s="38"/>
      <c r="G31" s="39"/>
    </row>
    <row r="32" spans="1:8" ht="26.25" customHeight="1" thickBot="1" x14ac:dyDescent="0.35">
      <c r="B32" s="40"/>
      <c r="C32" s="41"/>
      <c r="D32" s="41"/>
      <c r="E32" s="41"/>
      <c r="F32" s="41"/>
      <c r="G32" s="42"/>
    </row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</sheetData>
  <mergeCells count="2">
    <mergeCell ref="B1:G1"/>
    <mergeCell ref="B25:G3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3" fitToHeight="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모던텍 완속-급속 주요 충전기 부품 BOM-250529</vt:lpstr>
      <vt:lpstr>모던텍 완속-급속 주요 충전기 부품_251114</vt:lpstr>
      <vt:lpstr>모던텍 완속-급속 주요 충전기 부품_260522</vt:lpstr>
      <vt:lpstr>'모던텍 완속-급속 주요 충전기 부품_260522'!Print_Area</vt:lpstr>
      <vt:lpstr>'모던텍 완속-급속 주요 충전기 부품 BOM-250529'!Print_Titles</vt:lpstr>
      <vt:lpstr>'모던텍 완속-급속 주요 충전기 부품_251114'!Print_Titles</vt:lpstr>
      <vt:lpstr>'모던텍 완속-급속 주요 충전기 부품_260522'!Print_Titles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명식 주</dc:creator>
  <cp:lastModifiedBy>CS팀1</cp:lastModifiedBy>
  <cp:lastPrinted>2026-05-27T23:09:34Z</cp:lastPrinted>
  <dcterms:created xsi:type="dcterms:W3CDTF">2025-05-29T05:55:58Z</dcterms:created>
  <dcterms:modified xsi:type="dcterms:W3CDTF">2026-05-27T23:17:24Z</dcterms:modified>
</cp:coreProperties>
</file>